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00000000-0000-0000-0000-0000000000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WORK\NIQ\PROJECT\WALL-E\SPECS_Q3_2024_AdEval\WallE\AdEval\"/>
    </mc:Choice>
  </mc:AlternateContent>
  <xr:revisionPtr revIDLastSave="0" documentId="13_ncr:1_{3B869522-8E84-49F1-963A-2C9A4EA70978}" xr6:coauthVersionLast="47" xr6:coauthVersionMax="47" xr10:uidLastSave="{00000000-0000-0000-0000-000000000000}"/>
  <bookViews>
    <workbookView xWindow="-120" yWindow="-120" windowWidth="29040" windowHeight="15720" tabRatio="620" activeTab="13" xr2:uid="{5B5A7D89-0C29-4B4E-9BB8-B85D9E70DEBD}"/>
  </bookViews>
  <sheets>
    <sheet name="SAMPLE" sheetId="22" r:id="rId1"/>
    <sheet name="OV1" sheetId="35" r:id="rId2"/>
    <sheet name="RANK" sheetId="36" r:id="rId3"/>
    <sheet name="Qshow2" sheetId="37" r:id="rId4"/>
    <sheet name="Qwho4" sheetId="38" r:id="rId5"/>
    <sheet name="brandlink1" sheetId="39" r:id="rId6"/>
    <sheet name="QFI3A" sheetId="40" r:id="rId7"/>
    <sheet name="QFI4" sheetId="42" r:id="rId8"/>
    <sheet name="QFi5" sheetId="43" r:id="rId9"/>
    <sheet name="SOA2" sheetId="44" r:id="rId10"/>
    <sheet name="SH7" sheetId="45" r:id="rId11"/>
    <sheet name="ST7" sheetId="46" r:id="rId12"/>
    <sheet name="QGI7" sheetId="47" r:id="rId13"/>
    <sheet name="QSC7" sheetId="48" r:id="rId14"/>
    <sheet name="QLM5" sheetId="49" r:id="rId15"/>
    <sheet name="QNT7" sheetId="51" r:id="rId16"/>
    <sheet name="QFI5_SG" sheetId="52" r:id="rId17"/>
    <sheet name="QFI5_BLS" sheetId="54" r:id="rId18"/>
    <sheet name="Sheet2" sheetId="53" r:id="rId19"/>
  </sheets>
  <functionGroups builtInGroupCount="19"/>
  <definedNames>
    <definedName name="_xlnm._FilterDatabase" localSheetId="1" hidden="1">'OV1'!$A$1:$J$149</definedName>
    <definedName name="_xlnm._FilterDatabase" localSheetId="8" hidden="1">'QFi5'!$A$1:$C$159</definedName>
    <definedName name="_xlnm._FilterDatabase" localSheetId="17" hidden="1">QFI5_BLS!$A$1:$C$160</definedName>
    <definedName name="_xlnm._FilterDatabase" localSheetId="16" hidden="1">QFI5_SG!$A$1:$C$67</definedName>
    <definedName name="_xlnm._FilterDatabase" localSheetId="12" hidden="1">'QGI7'!$A$1:$J$124</definedName>
    <definedName name="_xlnm._FilterDatabase" localSheetId="14" hidden="1">'QLM5'!$A$1:$C$112</definedName>
    <definedName name="_xlnm._FilterDatabase" localSheetId="15" hidden="1">'QNT7'!$A$1:$C$122</definedName>
    <definedName name="_xlnm._FilterDatabase" localSheetId="13" hidden="1">'QSC7'!$A$1:$C$157</definedName>
    <definedName name="_xlnm._FilterDatabase" localSheetId="0" hidden="1">SAMPLE!$A$1:$Z$262</definedName>
    <definedName name="_xlnm._FilterDatabase" localSheetId="10" hidden="1">'SH7'!$A$1:$C$123</definedName>
    <definedName name="_xlnm._FilterDatabase" localSheetId="11" hidden="1">'ST7'!$A$1:$J$153</definedName>
    <definedName name="_xleta.VALUE" hidden="1" xlm="1">#NAME?</definedName>
    <definedName name="chi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16" i="48" l="1"/>
  <c r="H116" i="48"/>
  <c r="G116" i="48"/>
  <c r="J115" i="48"/>
  <c r="H115" i="48"/>
  <c r="G115" i="48"/>
  <c r="J114" i="48"/>
  <c r="H114" i="48"/>
  <c r="G114" i="48"/>
  <c r="J113" i="48"/>
  <c r="H113" i="48"/>
  <c r="G113" i="48"/>
  <c r="J112" i="48"/>
  <c r="H112" i="48"/>
  <c r="G112" i="48"/>
  <c r="J111" i="48"/>
  <c r="H111" i="48"/>
  <c r="G111" i="48"/>
  <c r="J110" i="48"/>
  <c r="H110" i="48"/>
  <c r="G110" i="48"/>
  <c r="J109" i="48"/>
  <c r="H109" i="48"/>
  <c r="G109" i="48"/>
  <c r="J108" i="48"/>
  <c r="H108" i="48"/>
  <c r="G108" i="48"/>
  <c r="J107" i="48"/>
  <c r="H107" i="48"/>
  <c r="G107" i="48"/>
  <c r="J106" i="48"/>
  <c r="H106" i="48"/>
  <c r="G106" i="48"/>
  <c r="J105" i="48"/>
  <c r="H105" i="48"/>
  <c r="G105" i="48"/>
  <c r="J104" i="48"/>
  <c r="H104" i="48"/>
  <c r="G104" i="48"/>
  <c r="J103" i="48"/>
  <c r="H103" i="48"/>
  <c r="G103" i="48"/>
  <c r="J102" i="48"/>
  <c r="H102" i="48"/>
  <c r="G102" i="48"/>
  <c r="J101" i="48"/>
  <c r="H101" i="48"/>
  <c r="G101" i="48"/>
  <c r="J100" i="48"/>
  <c r="H100" i="48"/>
  <c r="G100" i="48"/>
  <c r="J99" i="48"/>
  <c r="H99" i="48"/>
  <c r="G99" i="48"/>
  <c r="J98" i="48"/>
  <c r="H98" i="48"/>
  <c r="G98" i="48"/>
  <c r="J97" i="48"/>
  <c r="H97" i="48"/>
  <c r="G97" i="48"/>
  <c r="J96" i="48"/>
  <c r="H96" i="48"/>
  <c r="G96" i="48"/>
  <c r="J95" i="48"/>
  <c r="H95" i="48"/>
  <c r="G95" i="48"/>
  <c r="J94" i="48"/>
  <c r="H94" i="48"/>
  <c r="G94" i="48"/>
  <c r="J93" i="48"/>
  <c r="H93" i="48"/>
  <c r="G93" i="48"/>
  <c r="J92" i="48"/>
  <c r="H92" i="48"/>
  <c r="G92" i="48"/>
  <c r="J91" i="48"/>
  <c r="H91" i="48"/>
  <c r="G91" i="48"/>
  <c r="J90" i="48"/>
  <c r="H90" i="48"/>
  <c r="G90" i="48"/>
  <c r="J89" i="48"/>
  <c r="H89" i="48"/>
  <c r="G89" i="48"/>
  <c r="J88" i="48"/>
  <c r="H88" i="48"/>
  <c r="G88" i="48"/>
  <c r="J87" i="48"/>
  <c r="H87" i="48"/>
  <c r="G87" i="48"/>
  <c r="J86" i="48"/>
  <c r="H86" i="48"/>
  <c r="G86" i="48"/>
  <c r="J85" i="48"/>
  <c r="H85" i="48"/>
  <c r="G85" i="48"/>
  <c r="J84" i="48"/>
  <c r="H84" i="48"/>
  <c r="G84" i="48"/>
  <c r="J83" i="48"/>
  <c r="H83" i="48"/>
  <c r="G83" i="48"/>
  <c r="J82" i="48"/>
  <c r="H82" i="48"/>
  <c r="G82" i="48"/>
  <c r="J81" i="48"/>
  <c r="H81" i="48"/>
  <c r="G81" i="48"/>
  <c r="J80" i="48"/>
  <c r="H80" i="48"/>
  <c r="G80" i="48"/>
  <c r="J79" i="48"/>
  <c r="H79" i="48"/>
  <c r="G79" i="48"/>
  <c r="J78" i="48"/>
  <c r="H78" i="48"/>
  <c r="G78" i="48"/>
  <c r="J77" i="48"/>
  <c r="H77" i="48"/>
  <c r="G77" i="48"/>
  <c r="J76" i="48"/>
  <c r="H76" i="48"/>
  <c r="G76" i="48"/>
  <c r="J75" i="48"/>
  <c r="H75" i="48"/>
  <c r="G75" i="48"/>
  <c r="J74" i="48"/>
  <c r="H74" i="48"/>
  <c r="G74" i="48"/>
  <c r="J73" i="48"/>
  <c r="H73" i="48"/>
  <c r="G73" i="48"/>
  <c r="J72" i="48"/>
  <c r="H72" i="48"/>
  <c r="G72" i="48"/>
  <c r="J71" i="48"/>
  <c r="H71" i="48"/>
  <c r="G71" i="48"/>
  <c r="J70" i="48"/>
  <c r="H70" i="48"/>
  <c r="G70" i="48"/>
  <c r="J69" i="48"/>
  <c r="H69" i="48"/>
  <c r="G69" i="48"/>
  <c r="J68" i="48"/>
  <c r="H68" i="48"/>
  <c r="G68" i="48"/>
  <c r="J67" i="48"/>
  <c r="H67" i="48"/>
  <c r="G67" i="48"/>
  <c r="J66" i="48"/>
  <c r="H66" i="48"/>
  <c r="G66" i="48"/>
  <c r="J65" i="48"/>
  <c r="H65" i="48"/>
  <c r="G65" i="48"/>
  <c r="J64" i="48"/>
  <c r="H64" i="48"/>
  <c r="G64" i="48"/>
  <c r="J63" i="48"/>
  <c r="H63" i="48"/>
  <c r="G63" i="48"/>
  <c r="J62" i="48"/>
  <c r="H62" i="48"/>
  <c r="G62" i="48"/>
  <c r="J61" i="48"/>
  <c r="H61" i="48"/>
  <c r="G61" i="48"/>
  <c r="J60" i="48"/>
  <c r="H60" i="48"/>
  <c r="G60" i="48"/>
  <c r="J59" i="48"/>
  <c r="H59" i="48"/>
  <c r="G59" i="48"/>
  <c r="J58" i="48"/>
  <c r="H58" i="48"/>
  <c r="G58" i="48"/>
  <c r="J57" i="48"/>
  <c r="H57" i="48"/>
  <c r="G57" i="48"/>
  <c r="J56" i="48"/>
  <c r="H56" i="48"/>
  <c r="G56" i="48"/>
  <c r="J55" i="48"/>
  <c r="H55" i="48"/>
  <c r="G55" i="48"/>
  <c r="J54" i="48"/>
  <c r="H54" i="48"/>
  <c r="G54" i="48"/>
  <c r="J53" i="48"/>
  <c r="H53" i="48"/>
  <c r="G53" i="48"/>
  <c r="J52" i="48"/>
  <c r="H52" i="48"/>
  <c r="G52" i="48"/>
  <c r="J51" i="48"/>
  <c r="H51" i="48"/>
  <c r="G51" i="48"/>
  <c r="J50" i="48"/>
  <c r="H50" i="48"/>
  <c r="G50" i="48"/>
  <c r="J49" i="48"/>
  <c r="H49" i="48"/>
  <c r="G49" i="48"/>
  <c r="J48" i="48"/>
  <c r="H48" i="48"/>
  <c r="G48" i="48"/>
  <c r="J47" i="48"/>
  <c r="H47" i="48"/>
  <c r="G47" i="48"/>
  <c r="J46" i="48"/>
  <c r="H46" i="48"/>
  <c r="G46" i="48"/>
  <c r="J45" i="48"/>
  <c r="H45" i="48"/>
  <c r="G45" i="48"/>
  <c r="J44" i="48"/>
  <c r="H44" i="48"/>
  <c r="G44" i="48"/>
  <c r="J43" i="48"/>
  <c r="H43" i="48"/>
  <c r="G43" i="48"/>
  <c r="J42" i="48"/>
  <c r="H42" i="48"/>
  <c r="G42" i="48"/>
  <c r="J41" i="48"/>
  <c r="H41" i="48"/>
  <c r="G41" i="48"/>
  <c r="J40" i="48"/>
  <c r="H40" i="48"/>
  <c r="G40" i="48"/>
  <c r="J39" i="48"/>
  <c r="H39" i="48"/>
  <c r="G39" i="48"/>
  <c r="J38" i="48"/>
  <c r="H38" i="48"/>
  <c r="G38" i="48"/>
  <c r="J37" i="48"/>
  <c r="H37" i="48"/>
  <c r="G37" i="48"/>
  <c r="J36" i="48"/>
  <c r="H36" i="48"/>
  <c r="G36" i="48"/>
  <c r="J35" i="48"/>
  <c r="H35" i="48"/>
  <c r="G35" i="48"/>
  <c r="J34" i="48"/>
  <c r="H34" i="48"/>
  <c r="G34" i="48"/>
  <c r="J33" i="48"/>
  <c r="H33" i="48"/>
  <c r="G33" i="48"/>
  <c r="J32" i="48"/>
  <c r="H32" i="48"/>
  <c r="G32" i="48"/>
  <c r="J31" i="48"/>
  <c r="H31" i="48"/>
  <c r="G31" i="48"/>
  <c r="J30" i="48"/>
  <c r="H30" i="48"/>
  <c r="G30" i="48"/>
  <c r="J29" i="48"/>
  <c r="H29" i="48"/>
  <c r="G29" i="48"/>
  <c r="J28" i="48"/>
  <c r="H28" i="48"/>
  <c r="G28" i="48"/>
  <c r="J27" i="48"/>
  <c r="H27" i="48"/>
  <c r="G27" i="48"/>
  <c r="J26" i="48"/>
  <c r="H26" i="48"/>
  <c r="G26" i="48"/>
  <c r="J25" i="48"/>
  <c r="H25" i="48"/>
  <c r="G25" i="48"/>
  <c r="J24" i="48"/>
  <c r="H24" i="48"/>
  <c r="G24" i="48"/>
  <c r="J23" i="48"/>
  <c r="H23" i="48"/>
  <c r="G23" i="48"/>
  <c r="J22" i="48"/>
  <c r="H22" i="48"/>
  <c r="G22" i="48"/>
  <c r="J21" i="48"/>
  <c r="H21" i="48"/>
  <c r="G21" i="48"/>
  <c r="J20" i="48"/>
  <c r="H20" i="48"/>
  <c r="G20" i="48"/>
  <c r="J19" i="48"/>
  <c r="H19" i="48"/>
  <c r="G19" i="48"/>
  <c r="J18" i="48"/>
  <c r="H18" i="48"/>
  <c r="G18" i="48"/>
  <c r="J17" i="48"/>
  <c r="H17" i="48"/>
  <c r="G17" i="48"/>
  <c r="J16" i="48"/>
  <c r="H16" i="48"/>
  <c r="G16" i="48"/>
  <c r="J15" i="48"/>
  <c r="H15" i="48"/>
  <c r="G15" i="48"/>
  <c r="J14" i="48"/>
  <c r="H14" i="48"/>
  <c r="G14" i="48"/>
  <c r="J13" i="48"/>
  <c r="H13" i="48"/>
  <c r="G13" i="48"/>
  <c r="J12" i="48"/>
  <c r="H12" i="48"/>
  <c r="G12" i="48"/>
  <c r="J11" i="48"/>
  <c r="H11" i="48"/>
  <c r="G11" i="48"/>
  <c r="J10" i="48"/>
  <c r="H10" i="48"/>
  <c r="G10" i="48"/>
  <c r="J9" i="48"/>
  <c r="H9" i="48"/>
  <c r="G9" i="48"/>
  <c r="J8" i="48"/>
  <c r="H8" i="48"/>
  <c r="G8" i="48"/>
  <c r="J7" i="48"/>
  <c r="H7" i="48"/>
  <c r="G7" i="48"/>
  <c r="J6" i="48"/>
  <c r="H6" i="48"/>
  <c r="G6" i="48"/>
  <c r="J5" i="48"/>
  <c r="H5" i="48"/>
  <c r="G5" i="48"/>
  <c r="J4" i="48"/>
  <c r="H4" i="48"/>
  <c r="G4" i="48"/>
  <c r="J3" i="48"/>
  <c r="H3" i="48"/>
  <c r="G3" i="48"/>
  <c r="J2" i="48"/>
  <c r="H2" i="48"/>
  <c r="G2" i="48"/>
  <c r="J124" i="47"/>
  <c r="H124" i="47"/>
  <c r="G124" i="47"/>
  <c r="J123" i="47"/>
  <c r="H123" i="47"/>
  <c r="G123" i="47"/>
  <c r="J122" i="47"/>
  <c r="H122" i="47"/>
  <c r="G122" i="47"/>
  <c r="J121" i="47"/>
  <c r="H121" i="47"/>
  <c r="G121" i="47"/>
  <c r="J120" i="47"/>
  <c r="H120" i="47"/>
  <c r="G120" i="47"/>
  <c r="J119" i="47"/>
  <c r="H119" i="47"/>
  <c r="G119" i="47"/>
  <c r="J118" i="47"/>
  <c r="H118" i="47"/>
  <c r="G118" i="47"/>
  <c r="J117" i="47"/>
  <c r="H117" i="47"/>
  <c r="G117" i="47"/>
  <c r="J116" i="47"/>
  <c r="H116" i="47"/>
  <c r="G116" i="47"/>
  <c r="J115" i="47"/>
  <c r="H115" i="47"/>
  <c r="G115" i="47"/>
  <c r="J114" i="47"/>
  <c r="H114" i="47"/>
  <c r="G114" i="47"/>
  <c r="J113" i="47"/>
  <c r="H113" i="47"/>
  <c r="G113" i="47"/>
  <c r="J112" i="47"/>
  <c r="H112" i="47"/>
  <c r="G112" i="47"/>
  <c r="J111" i="47"/>
  <c r="H111" i="47"/>
  <c r="G111" i="47"/>
  <c r="J110" i="47"/>
  <c r="H110" i="47"/>
  <c r="G110" i="47"/>
  <c r="J109" i="47"/>
  <c r="H109" i="47"/>
  <c r="G109" i="47"/>
  <c r="J108" i="47"/>
  <c r="H108" i="47"/>
  <c r="G108" i="47"/>
  <c r="J107" i="47"/>
  <c r="H107" i="47"/>
  <c r="G107" i="47"/>
  <c r="J106" i="47"/>
  <c r="H106" i="47"/>
  <c r="G106" i="47"/>
  <c r="J105" i="47"/>
  <c r="H105" i="47"/>
  <c r="G105" i="47"/>
  <c r="J104" i="47"/>
  <c r="H104" i="47"/>
  <c r="G104" i="47"/>
  <c r="J103" i="47"/>
  <c r="H103" i="47"/>
  <c r="G103" i="47"/>
  <c r="J102" i="47"/>
  <c r="H102" i="47"/>
  <c r="G102" i="47"/>
  <c r="J101" i="47"/>
  <c r="H101" i="47"/>
  <c r="G101" i="47"/>
  <c r="J100" i="47"/>
  <c r="H100" i="47"/>
  <c r="G100" i="47"/>
  <c r="J99" i="47"/>
  <c r="H99" i="47"/>
  <c r="G99" i="47"/>
  <c r="J98" i="47"/>
  <c r="H98" i="47"/>
  <c r="G98" i="47"/>
  <c r="J97" i="47"/>
  <c r="H97" i="47"/>
  <c r="G97" i="47"/>
  <c r="J96" i="47"/>
  <c r="H96" i="47"/>
  <c r="G96" i="47"/>
  <c r="J95" i="47"/>
  <c r="H95" i="47"/>
  <c r="G95" i="47"/>
  <c r="J94" i="47"/>
  <c r="H94" i="47"/>
  <c r="G94" i="47"/>
  <c r="J93" i="47"/>
  <c r="H93" i="47"/>
  <c r="G93" i="47"/>
  <c r="J92" i="47"/>
  <c r="H92" i="47"/>
  <c r="G92" i="47"/>
  <c r="J91" i="47"/>
  <c r="H91" i="47"/>
  <c r="G91" i="47"/>
  <c r="J90" i="47"/>
  <c r="H90" i="47"/>
  <c r="G90" i="47"/>
  <c r="J89" i="47"/>
  <c r="H89" i="47"/>
  <c r="G89" i="47"/>
  <c r="J88" i="47"/>
  <c r="H88" i="47"/>
  <c r="G88" i="47"/>
  <c r="J87" i="47"/>
  <c r="H87" i="47"/>
  <c r="G87" i="47"/>
  <c r="J86" i="47"/>
  <c r="H86" i="47"/>
  <c r="G86" i="47"/>
  <c r="J85" i="47"/>
  <c r="H85" i="47"/>
  <c r="G85" i="47"/>
  <c r="J84" i="47"/>
  <c r="H84" i="47"/>
  <c r="G84" i="47"/>
  <c r="J83" i="47"/>
  <c r="H83" i="47"/>
  <c r="G83" i="47"/>
  <c r="J82" i="47"/>
  <c r="H82" i="47"/>
  <c r="G82" i="47"/>
  <c r="J81" i="47"/>
  <c r="H81" i="47"/>
  <c r="G81" i="47"/>
  <c r="J80" i="47"/>
  <c r="H80" i="47"/>
  <c r="G80" i="47"/>
  <c r="J79" i="47"/>
  <c r="H79" i="47"/>
  <c r="G79" i="47"/>
  <c r="J78" i="47"/>
  <c r="H78" i="47"/>
  <c r="G78" i="47"/>
  <c r="J77" i="47"/>
  <c r="H77" i="47"/>
  <c r="G77" i="47"/>
  <c r="J76" i="47"/>
  <c r="H76" i="47"/>
  <c r="G76" i="47"/>
  <c r="J75" i="47"/>
  <c r="H75" i="47"/>
  <c r="G75" i="47"/>
  <c r="J74" i="47"/>
  <c r="H74" i="47"/>
  <c r="G74" i="47"/>
  <c r="J73" i="47"/>
  <c r="H73" i="47"/>
  <c r="G73" i="47"/>
  <c r="J72" i="47"/>
  <c r="H72" i="47"/>
  <c r="G72" i="47"/>
  <c r="J71" i="47"/>
  <c r="H71" i="47"/>
  <c r="G71" i="47"/>
  <c r="J70" i="47"/>
  <c r="H70" i="47"/>
  <c r="G70" i="47"/>
  <c r="J69" i="47"/>
  <c r="H69" i="47"/>
  <c r="G69" i="47"/>
  <c r="J68" i="47"/>
  <c r="H68" i="47"/>
  <c r="G68" i="47"/>
  <c r="J67" i="47"/>
  <c r="H67" i="47"/>
  <c r="G67" i="47"/>
  <c r="J66" i="47"/>
  <c r="H66" i="47"/>
  <c r="G66" i="47"/>
  <c r="J65" i="47"/>
  <c r="H65" i="47"/>
  <c r="G65" i="47"/>
  <c r="J64" i="47"/>
  <c r="H64" i="47"/>
  <c r="G64" i="47"/>
  <c r="J63" i="47"/>
  <c r="H63" i="47"/>
  <c r="G63" i="47"/>
  <c r="J62" i="47"/>
  <c r="H62" i="47"/>
  <c r="G62" i="47"/>
  <c r="J61" i="47"/>
  <c r="H61" i="47"/>
  <c r="G61" i="47"/>
  <c r="J60" i="47"/>
  <c r="H60" i="47"/>
  <c r="G60" i="47"/>
  <c r="J59" i="47"/>
  <c r="H59" i="47"/>
  <c r="G59" i="47"/>
  <c r="J58" i="47"/>
  <c r="H58" i="47"/>
  <c r="G58" i="47"/>
  <c r="J57" i="47"/>
  <c r="H57" i="47"/>
  <c r="G57" i="47"/>
  <c r="J56" i="47"/>
  <c r="H56" i="47"/>
  <c r="G56" i="47"/>
  <c r="J55" i="47"/>
  <c r="H55" i="47"/>
  <c r="G55" i="47"/>
  <c r="J54" i="47"/>
  <c r="H54" i="47"/>
  <c r="G54" i="47"/>
  <c r="J53" i="47"/>
  <c r="H53" i="47"/>
  <c r="G53" i="47"/>
  <c r="J52" i="47"/>
  <c r="H52" i="47"/>
  <c r="G52" i="47"/>
  <c r="J51" i="47"/>
  <c r="H51" i="47"/>
  <c r="G51" i="47"/>
  <c r="J50" i="47"/>
  <c r="H50" i="47"/>
  <c r="G50" i="47"/>
  <c r="J49" i="47"/>
  <c r="H49" i="47"/>
  <c r="G49" i="47"/>
  <c r="J48" i="47"/>
  <c r="H48" i="47"/>
  <c r="G48" i="47"/>
  <c r="J47" i="47"/>
  <c r="H47" i="47"/>
  <c r="G47" i="47"/>
  <c r="J46" i="47"/>
  <c r="H46" i="47"/>
  <c r="G46" i="47"/>
  <c r="J45" i="47"/>
  <c r="H45" i="47"/>
  <c r="G45" i="47"/>
  <c r="J44" i="47"/>
  <c r="H44" i="47"/>
  <c r="G44" i="47"/>
  <c r="J43" i="47"/>
  <c r="H43" i="47"/>
  <c r="G43" i="47"/>
  <c r="J42" i="47"/>
  <c r="H42" i="47"/>
  <c r="G42" i="47"/>
  <c r="J41" i="47"/>
  <c r="H41" i="47"/>
  <c r="G41" i="47"/>
  <c r="J40" i="47"/>
  <c r="H40" i="47"/>
  <c r="G40" i="47"/>
  <c r="J39" i="47"/>
  <c r="H39" i="47"/>
  <c r="G39" i="47"/>
  <c r="J38" i="47"/>
  <c r="H38" i="47"/>
  <c r="G38" i="47"/>
  <c r="J37" i="47"/>
  <c r="H37" i="47"/>
  <c r="G37" i="47"/>
  <c r="J36" i="47"/>
  <c r="H36" i="47"/>
  <c r="G36" i="47"/>
  <c r="J35" i="47"/>
  <c r="H35" i="47"/>
  <c r="G35" i="47"/>
  <c r="J34" i="47"/>
  <c r="H34" i="47"/>
  <c r="G34" i="47"/>
  <c r="J33" i="47"/>
  <c r="H33" i="47"/>
  <c r="G33" i="47"/>
  <c r="J32" i="47"/>
  <c r="H32" i="47"/>
  <c r="G32" i="47"/>
  <c r="J31" i="47"/>
  <c r="H31" i="47"/>
  <c r="G31" i="47"/>
  <c r="J30" i="47"/>
  <c r="H30" i="47"/>
  <c r="G30" i="47"/>
  <c r="J29" i="47"/>
  <c r="H29" i="47"/>
  <c r="G29" i="47"/>
  <c r="J28" i="47"/>
  <c r="H28" i="47"/>
  <c r="G28" i="47"/>
  <c r="J27" i="47"/>
  <c r="H27" i="47"/>
  <c r="G27" i="47"/>
  <c r="J26" i="47"/>
  <c r="H26" i="47"/>
  <c r="G26" i="47"/>
  <c r="J25" i="47"/>
  <c r="H25" i="47"/>
  <c r="G25" i="47"/>
  <c r="J24" i="47"/>
  <c r="H24" i="47"/>
  <c r="G24" i="47"/>
  <c r="J23" i="47"/>
  <c r="H23" i="47"/>
  <c r="G23" i="47"/>
  <c r="J22" i="47"/>
  <c r="H22" i="47"/>
  <c r="G22" i="47"/>
  <c r="J21" i="47"/>
  <c r="H21" i="47"/>
  <c r="G21" i="47"/>
  <c r="J20" i="47"/>
  <c r="H20" i="47"/>
  <c r="G20" i="47"/>
  <c r="J19" i="47"/>
  <c r="H19" i="47"/>
  <c r="G19" i="47"/>
  <c r="J18" i="47"/>
  <c r="H18" i="47"/>
  <c r="G18" i="47"/>
  <c r="J17" i="47"/>
  <c r="H17" i="47"/>
  <c r="G17" i="47"/>
  <c r="J16" i="47"/>
  <c r="H16" i="47"/>
  <c r="G16" i="47"/>
  <c r="J15" i="47"/>
  <c r="H15" i="47"/>
  <c r="G15" i="47"/>
  <c r="J14" i="47"/>
  <c r="H14" i="47"/>
  <c r="G14" i="47"/>
  <c r="J13" i="47"/>
  <c r="H13" i="47"/>
  <c r="G13" i="47"/>
  <c r="J12" i="47"/>
  <c r="H12" i="47"/>
  <c r="G12" i="47"/>
  <c r="J11" i="47"/>
  <c r="H11" i="47"/>
  <c r="G11" i="47"/>
  <c r="J10" i="47"/>
  <c r="H10" i="47"/>
  <c r="G10" i="47"/>
  <c r="J9" i="47"/>
  <c r="H9" i="47"/>
  <c r="G9" i="47"/>
  <c r="J8" i="47"/>
  <c r="H8" i="47"/>
  <c r="G8" i="47"/>
  <c r="J7" i="47"/>
  <c r="H7" i="47"/>
  <c r="G7" i="47"/>
  <c r="J6" i="47"/>
  <c r="H6" i="47"/>
  <c r="G6" i="47"/>
  <c r="J5" i="47"/>
  <c r="H5" i="47"/>
  <c r="G5" i="47"/>
  <c r="J4" i="47"/>
  <c r="H4" i="47"/>
  <c r="G4" i="47"/>
  <c r="J3" i="47"/>
  <c r="H3" i="47"/>
  <c r="G3" i="47"/>
  <c r="J2" i="47"/>
  <c r="H2" i="47"/>
  <c r="G2" i="47"/>
  <c r="J121" i="46"/>
  <c r="H121" i="46"/>
  <c r="G121" i="46"/>
  <c r="J120" i="46"/>
  <c r="H120" i="46"/>
  <c r="G120" i="46"/>
  <c r="J119" i="46"/>
  <c r="H119" i="46"/>
  <c r="G119" i="46"/>
  <c r="J118" i="46"/>
  <c r="H118" i="46"/>
  <c r="G118" i="46"/>
  <c r="J117" i="46"/>
  <c r="H117" i="46"/>
  <c r="G117" i="46"/>
  <c r="J116" i="46"/>
  <c r="H116" i="46"/>
  <c r="G116" i="46"/>
  <c r="J115" i="46"/>
  <c r="H115" i="46"/>
  <c r="G115" i="46"/>
  <c r="J114" i="46"/>
  <c r="H114" i="46"/>
  <c r="G114" i="46"/>
  <c r="J113" i="46"/>
  <c r="H113" i="46"/>
  <c r="G113" i="46"/>
  <c r="J112" i="46"/>
  <c r="H112" i="46"/>
  <c r="G112" i="46"/>
  <c r="J111" i="46"/>
  <c r="H111" i="46"/>
  <c r="G111" i="46"/>
  <c r="J110" i="46"/>
  <c r="H110" i="46"/>
  <c r="G110" i="46"/>
  <c r="J109" i="46"/>
  <c r="H109" i="46"/>
  <c r="G109" i="46"/>
  <c r="J108" i="46"/>
  <c r="H108" i="46"/>
  <c r="G108" i="46"/>
  <c r="J107" i="46"/>
  <c r="H107" i="46"/>
  <c r="G107" i="46"/>
  <c r="J106" i="46"/>
  <c r="H106" i="46"/>
  <c r="G106" i="46"/>
  <c r="J105" i="46"/>
  <c r="H105" i="46"/>
  <c r="G105" i="46"/>
  <c r="J104" i="46"/>
  <c r="H104" i="46"/>
  <c r="G104" i="46"/>
  <c r="J103" i="46"/>
  <c r="H103" i="46"/>
  <c r="G103" i="46"/>
  <c r="J102" i="46"/>
  <c r="H102" i="46"/>
  <c r="G102" i="46"/>
  <c r="J101" i="46"/>
  <c r="H101" i="46"/>
  <c r="G101" i="46"/>
  <c r="J100" i="46"/>
  <c r="H100" i="46"/>
  <c r="G100" i="46"/>
  <c r="J99" i="46"/>
  <c r="H99" i="46"/>
  <c r="G99" i="46"/>
  <c r="J98" i="46"/>
  <c r="H98" i="46"/>
  <c r="G98" i="46"/>
  <c r="H97" i="46"/>
  <c r="J97" i="46" s="1"/>
  <c r="G97" i="46"/>
  <c r="J96" i="46"/>
  <c r="H96" i="46"/>
  <c r="G96" i="46"/>
  <c r="J95" i="46"/>
  <c r="H95" i="46"/>
  <c r="G95" i="46"/>
  <c r="J94" i="46"/>
  <c r="H94" i="46"/>
  <c r="G94" i="46"/>
  <c r="J93" i="46"/>
  <c r="H93" i="46"/>
  <c r="G93" i="46"/>
  <c r="J92" i="46"/>
  <c r="H92" i="46"/>
  <c r="G92" i="46"/>
  <c r="J91" i="46"/>
  <c r="H91" i="46"/>
  <c r="G91" i="46"/>
  <c r="J90" i="46"/>
  <c r="H90" i="46"/>
  <c r="G90" i="46"/>
  <c r="J89" i="46"/>
  <c r="H89" i="46"/>
  <c r="G89" i="46"/>
  <c r="J88" i="46"/>
  <c r="H88" i="46"/>
  <c r="G88" i="46"/>
  <c r="J87" i="46"/>
  <c r="H87" i="46"/>
  <c r="G87" i="46"/>
  <c r="J86" i="46"/>
  <c r="H86" i="46"/>
  <c r="G86" i="46"/>
  <c r="J85" i="46"/>
  <c r="H85" i="46"/>
  <c r="G85" i="46"/>
  <c r="J84" i="46"/>
  <c r="H84" i="46"/>
  <c r="G84" i="46"/>
  <c r="J83" i="46"/>
  <c r="H83" i="46"/>
  <c r="G83" i="46"/>
  <c r="J82" i="46"/>
  <c r="H82" i="46"/>
  <c r="G82" i="46"/>
  <c r="J81" i="46"/>
  <c r="H81" i="46"/>
  <c r="G81" i="46"/>
  <c r="J80" i="46"/>
  <c r="H80" i="46"/>
  <c r="G80" i="46"/>
  <c r="J79" i="46"/>
  <c r="H79" i="46"/>
  <c r="G79" i="46"/>
  <c r="J78" i="46"/>
  <c r="H78" i="46"/>
  <c r="G78" i="46"/>
  <c r="J77" i="46"/>
  <c r="H77" i="46"/>
  <c r="G77" i="46"/>
  <c r="J76" i="46"/>
  <c r="H76" i="46"/>
  <c r="G76" i="46"/>
  <c r="J75" i="46"/>
  <c r="H75" i="46"/>
  <c r="G75" i="46"/>
  <c r="J74" i="46"/>
  <c r="H74" i="46"/>
  <c r="G74" i="46"/>
  <c r="J73" i="46"/>
  <c r="H73" i="46"/>
  <c r="G73" i="46"/>
  <c r="J72" i="46"/>
  <c r="H72" i="46"/>
  <c r="G72" i="46"/>
  <c r="J71" i="46"/>
  <c r="H71" i="46"/>
  <c r="G71" i="46"/>
  <c r="J70" i="46"/>
  <c r="H70" i="46"/>
  <c r="G70" i="46"/>
  <c r="J69" i="46"/>
  <c r="H69" i="46"/>
  <c r="G69" i="46"/>
  <c r="J68" i="46"/>
  <c r="H68" i="46"/>
  <c r="G68" i="46"/>
  <c r="J67" i="46"/>
  <c r="H67" i="46"/>
  <c r="G67" i="46"/>
  <c r="J66" i="46"/>
  <c r="H66" i="46"/>
  <c r="G66" i="46"/>
  <c r="J65" i="46"/>
  <c r="H65" i="46"/>
  <c r="G65" i="46"/>
  <c r="J64" i="46"/>
  <c r="H64" i="46"/>
  <c r="G64" i="46"/>
  <c r="J63" i="46"/>
  <c r="H63" i="46"/>
  <c r="G63" i="46"/>
  <c r="J62" i="46"/>
  <c r="H62" i="46"/>
  <c r="G62" i="46"/>
  <c r="J61" i="46"/>
  <c r="H61" i="46"/>
  <c r="G61" i="46"/>
  <c r="J60" i="46"/>
  <c r="H60" i="46"/>
  <c r="G60" i="46"/>
  <c r="J59" i="46"/>
  <c r="H59" i="46"/>
  <c r="G59" i="46"/>
  <c r="J58" i="46"/>
  <c r="H58" i="46"/>
  <c r="G58" i="46"/>
  <c r="J57" i="46"/>
  <c r="H57" i="46"/>
  <c r="G57" i="46"/>
  <c r="J56" i="46"/>
  <c r="H56" i="46"/>
  <c r="G56" i="46"/>
  <c r="J55" i="46"/>
  <c r="H55" i="46"/>
  <c r="G55" i="46"/>
  <c r="J54" i="46"/>
  <c r="H54" i="46"/>
  <c r="G54" i="46"/>
  <c r="J53" i="46"/>
  <c r="H53" i="46"/>
  <c r="G53" i="46"/>
  <c r="J52" i="46"/>
  <c r="H52" i="46"/>
  <c r="G52" i="46"/>
  <c r="J51" i="46"/>
  <c r="H51" i="46"/>
  <c r="G51" i="46"/>
  <c r="J50" i="46"/>
  <c r="H50" i="46"/>
  <c r="G50" i="46"/>
  <c r="J49" i="46"/>
  <c r="H49" i="46"/>
  <c r="G49" i="46"/>
  <c r="J48" i="46"/>
  <c r="H48" i="46"/>
  <c r="G48" i="46"/>
  <c r="J47" i="46"/>
  <c r="H47" i="46"/>
  <c r="G47" i="46"/>
  <c r="J46" i="46"/>
  <c r="H46" i="46"/>
  <c r="G46" i="46"/>
  <c r="J45" i="46"/>
  <c r="H45" i="46"/>
  <c r="G45" i="46"/>
  <c r="J44" i="46"/>
  <c r="H44" i="46"/>
  <c r="G44" i="46"/>
  <c r="J43" i="46"/>
  <c r="H43" i="46"/>
  <c r="G43" i="46"/>
  <c r="J42" i="46"/>
  <c r="H42" i="46"/>
  <c r="G42" i="46"/>
  <c r="J41" i="46"/>
  <c r="H41" i="46"/>
  <c r="G41" i="46"/>
  <c r="J40" i="46"/>
  <c r="H40" i="46"/>
  <c r="G40" i="46"/>
  <c r="J39" i="46"/>
  <c r="H39" i="46"/>
  <c r="G39" i="46"/>
  <c r="J38" i="46"/>
  <c r="H38" i="46"/>
  <c r="G38" i="46"/>
  <c r="J37" i="46"/>
  <c r="H37" i="46"/>
  <c r="G37" i="46"/>
  <c r="J36" i="46"/>
  <c r="H36" i="46"/>
  <c r="G36" i="46"/>
  <c r="J35" i="46"/>
  <c r="H35" i="46"/>
  <c r="G35" i="46"/>
  <c r="J34" i="46"/>
  <c r="H34" i="46"/>
  <c r="G34" i="46"/>
  <c r="J33" i="46"/>
  <c r="H33" i="46"/>
  <c r="G33" i="46"/>
  <c r="J32" i="46"/>
  <c r="H32" i="46"/>
  <c r="G32" i="46"/>
  <c r="J31" i="46"/>
  <c r="H31" i="46"/>
  <c r="G31" i="46"/>
  <c r="J30" i="46"/>
  <c r="H30" i="46"/>
  <c r="G30" i="46"/>
  <c r="J29" i="46"/>
  <c r="H29" i="46"/>
  <c r="G29" i="46"/>
  <c r="J28" i="46"/>
  <c r="H28" i="46"/>
  <c r="G28" i="46"/>
  <c r="J27" i="46"/>
  <c r="H27" i="46"/>
  <c r="G27" i="46"/>
  <c r="J26" i="46"/>
  <c r="H26" i="46"/>
  <c r="G26" i="46"/>
  <c r="J25" i="46"/>
  <c r="H25" i="46"/>
  <c r="G25" i="46"/>
  <c r="J24" i="46"/>
  <c r="H24" i="46"/>
  <c r="G24" i="46"/>
  <c r="J23" i="46"/>
  <c r="H23" i="46"/>
  <c r="G23" i="46"/>
  <c r="J22" i="46"/>
  <c r="H22" i="46"/>
  <c r="G22" i="46"/>
  <c r="J21" i="46"/>
  <c r="H21" i="46"/>
  <c r="G21" i="46"/>
  <c r="J20" i="46"/>
  <c r="H20" i="46"/>
  <c r="G20" i="46"/>
  <c r="J19" i="46"/>
  <c r="H19" i="46"/>
  <c r="G19" i="46"/>
  <c r="J18" i="46"/>
  <c r="H18" i="46"/>
  <c r="G18" i="46"/>
  <c r="J17" i="46"/>
  <c r="H17" i="46"/>
  <c r="G17" i="46"/>
  <c r="J16" i="46"/>
  <c r="H16" i="46"/>
  <c r="G16" i="46"/>
  <c r="J15" i="46"/>
  <c r="H15" i="46"/>
  <c r="G15" i="46"/>
  <c r="J14" i="46"/>
  <c r="H14" i="46"/>
  <c r="G14" i="46"/>
  <c r="J13" i="46"/>
  <c r="H13" i="46"/>
  <c r="G13" i="46"/>
  <c r="J12" i="46"/>
  <c r="H12" i="46"/>
  <c r="G12" i="46"/>
  <c r="J11" i="46"/>
  <c r="H11" i="46"/>
  <c r="G11" i="46"/>
  <c r="J10" i="46"/>
  <c r="H10" i="46"/>
  <c r="G10" i="46"/>
  <c r="J9" i="46"/>
  <c r="H9" i="46"/>
  <c r="G9" i="46"/>
  <c r="J8" i="46"/>
  <c r="H8" i="46"/>
  <c r="G8" i="46"/>
  <c r="J7" i="46"/>
  <c r="H7" i="46"/>
  <c r="G7" i="46"/>
  <c r="J6" i="46"/>
  <c r="H6" i="46"/>
  <c r="G6" i="46"/>
  <c r="J5" i="46"/>
  <c r="H5" i="46"/>
  <c r="G5" i="46"/>
  <c r="J4" i="46"/>
  <c r="H4" i="46"/>
  <c r="G4" i="46"/>
  <c r="J3" i="46"/>
  <c r="H3" i="46"/>
  <c r="G3" i="46"/>
  <c r="J2" i="46"/>
  <c r="H2" i="46"/>
  <c r="G2" i="46"/>
  <c r="J160" i="54"/>
  <c r="H160" i="54"/>
  <c r="G160" i="54"/>
  <c r="J159" i="54"/>
  <c r="H159" i="54"/>
  <c r="G159" i="54"/>
  <c r="J158" i="54"/>
  <c r="H158" i="54"/>
  <c r="G158" i="54"/>
  <c r="J157" i="54"/>
  <c r="H157" i="54"/>
  <c r="G157" i="54"/>
  <c r="J156" i="54"/>
  <c r="H156" i="54"/>
  <c r="G156" i="54"/>
  <c r="J155" i="54"/>
  <c r="H155" i="54"/>
  <c r="G155" i="54"/>
  <c r="J154" i="54"/>
  <c r="H154" i="54"/>
  <c r="G154" i="54"/>
  <c r="J153" i="54"/>
  <c r="H153" i="54"/>
  <c r="G153" i="54"/>
  <c r="J152" i="54"/>
  <c r="H152" i="54"/>
  <c r="G152" i="54"/>
  <c r="J151" i="54"/>
  <c r="H151" i="54"/>
  <c r="G151" i="54"/>
  <c r="J150" i="54"/>
  <c r="H150" i="54"/>
  <c r="G150" i="54"/>
  <c r="J149" i="54"/>
  <c r="H149" i="54"/>
  <c r="G149" i="54"/>
  <c r="J148" i="54"/>
  <c r="H148" i="54"/>
  <c r="G148" i="54"/>
  <c r="J147" i="54"/>
  <c r="H147" i="54"/>
  <c r="G147" i="54"/>
  <c r="J146" i="54"/>
  <c r="H146" i="54"/>
  <c r="G146" i="54"/>
  <c r="J145" i="54"/>
  <c r="H145" i="54"/>
  <c r="G145" i="54"/>
  <c r="J144" i="54"/>
  <c r="H144" i="54"/>
  <c r="G144" i="54"/>
  <c r="J143" i="54"/>
  <c r="H143" i="54"/>
  <c r="G143" i="54"/>
  <c r="J142" i="54"/>
  <c r="H142" i="54"/>
  <c r="G142" i="54"/>
  <c r="J141" i="54"/>
  <c r="H141" i="54"/>
  <c r="G141" i="54"/>
  <c r="J140" i="54"/>
  <c r="H140" i="54"/>
  <c r="G140" i="54"/>
  <c r="J139" i="54"/>
  <c r="H139" i="54"/>
  <c r="G139" i="54"/>
  <c r="J138" i="54"/>
  <c r="H138" i="54"/>
  <c r="G138" i="54"/>
  <c r="J137" i="54"/>
  <c r="H137" i="54"/>
  <c r="G137" i="54"/>
  <c r="J136" i="54"/>
  <c r="H136" i="54"/>
  <c r="G136" i="54"/>
  <c r="J135" i="54"/>
  <c r="H135" i="54"/>
  <c r="G135" i="54"/>
  <c r="J134" i="54"/>
  <c r="H134" i="54"/>
  <c r="G134" i="54"/>
  <c r="J133" i="54"/>
  <c r="H133" i="54"/>
  <c r="G133" i="54"/>
  <c r="J132" i="54"/>
  <c r="H132" i="54"/>
  <c r="G132" i="54"/>
  <c r="J131" i="54"/>
  <c r="H131" i="54"/>
  <c r="G131" i="54"/>
  <c r="J130" i="54"/>
  <c r="H130" i="54"/>
  <c r="G130" i="54"/>
  <c r="J129" i="54"/>
  <c r="H129" i="54"/>
  <c r="G129" i="54"/>
  <c r="J128" i="54"/>
  <c r="H128" i="54"/>
  <c r="G128" i="54"/>
  <c r="J127" i="54"/>
  <c r="H127" i="54"/>
  <c r="G127" i="54"/>
  <c r="J126" i="54"/>
  <c r="H126" i="54"/>
  <c r="G126" i="54"/>
  <c r="J125" i="54"/>
  <c r="H125" i="54"/>
  <c r="G125" i="54"/>
  <c r="J124" i="54"/>
  <c r="H124" i="54"/>
  <c r="G124" i="54"/>
  <c r="J123" i="54"/>
  <c r="H123" i="54"/>
  <c r="G123" i="54"/>
  <c r="J122" i="54"/>
  <c r="H122" i="54"/>
  <c r="G122" i="54"/>
  <c r="J121" i="54"/>
  <c r="H121" i="54"/>
  <c r="G121" i="54"/>
  <c r="J120" i="54"/>
  <c r="H120" i="54"/>
  <c r="G120" i="54"/>
  <c r="J119" i="54"/>
  <c r="H119" i="54"/>
  <c r="G119" i="54"/>
  <c r="J118" i="54"/>
  <c r="H118" i="54"/>
  <c r="G118" i="54"/>
  <c r="J117" i="54"/>
  <c r="H117" i="54"/>
  <c r="G117" i="54"/>
  <c r="J116" i="54"/>
  <c r="H116" i="54"/>
  <c r="G116" i="54"/>
  <c r="J115" i="54"/>
  <c r="H115" i="54"/>
  <c r="G115" i="54"/>
  <c r="J114" i="54"/>
  <c r="H114" i="54"/>
  <c r="G114" i="54"/>
  <c r="J113" i="54"/>
  <c r="H113" i="54"/>
  <c r="G113" i="54"/>
  <c r="J112" i="54"/>
  <c r="H112" i="54"/>
  <c r="G112" i="54"/>
  <c r="J111" i="54"/>
  <c r="H111" i="54"/>
  <c r="G111" i="54"/>
  <c r="J110" i="54"/>
  <c r="H110" i="54"/>
  <c r="G110" i="54"/>
  <c r="J109" i="54"/>
  <c r="H109" i="54"/>
  <c r="G109" i="54"/>
  <c r="J108" i="54"/>
  <c r="H108" i="54"/>
  <c r="G108" i="54"/>
  <c r="J107" i="54"/>
  <c r="H107" i="54"/>
  <c r="G107" i="54"/>
  <c r="J106" i="54"/>
  <c r="H106" i="54"/>
  <c r="G106" i="54"/>
  <c r="J105" i="54"/>
  <c r="H105" i="54"/>
  <c r="G105" i="54"/>
  <c r="J104" i="54"/>
  <c r="H104" i="54"/>
  <c r="G104" i="54"/>
  <c r="J103" i="54"/>
  <c r="H103" i="54"/>
  <c r="G103" i="54"/>
  <c r="J102" i="54"/>
  <c r="H102" i="54"/>
  <c r="G102" i="54"/>
  <c r="J101" i="54"/>
  <c r="H101" i="54"/>
  <c r="G101" i="54"/>
  <c r="J100" i="54"/>
  <c r="H100" i="54"/>
  <c r="G100" i="54"/>
  <c r="J99" i="54"/>
  <c r="H99" i="54"/>
  <c r="G99" i="54"/>
  <c r="J98" i="54"/>
  <c r="H98" i="54"/>
  <c r="G98" i="54"/>
  <c r="J97" i="54"/>
  <c r="H97" i="54"/>
  <c r="G97" i="54"/>
  <c r="J96" i="54"/>
  <c r="H96" i="54"/>
  <c r="G96" i="54"/>
  <c r="J95" i="54"/>
  <c r="H95" i="54"/>
  <c r="G95" i="54"/>
  <c r="J94" i="54"/>
  <c r="H94" i="54"/>
  <c r="G94" i="54"/>
  <c r="J93" i="54"/>
  <c r="H93" i="54"/>
  <c r="G93" i="54"/>
  <c r="J92" i="54"/>
  <c r="H92" i="54"/>
  <c r="G92" i="54"/>
  <c r="J91" i="54"/>
  <c r="H91" i="54"/>
  <c r="G91" i="54"/>
  <c r="J90" i="54"/>
  <c r="H90" i="54"/>
  <c r="G90" i="54"/>
  <c r="J89" i="54"/>
  <c r="H89" i="54"/>
  <c r="G89" i="54"/>
  <c r="J88" i="54"/>
  <c r="H88" i="54"/>
  <c r="G88" i="54"/>
  <c r="J87" i="54"/>
  <c r="H87" i="54"/>
  <c r="G87" i="54"/>
  <c r="J86" i="54"/>
  <c r="H86" i="54"/>
  <c r="G86" i="54"/>
  <c r="J85" i="54"/>
  <c r="H85" i="54"/>
  <c r="G85" i="54"/>
  <c r="J84" i="54"/>
  <c r="H84" i="54"/>
  <c r="G84" i="54"/>
  <c r="J83" i="54"/>
  <c r="H83" i="54"/>
  <c r="G83" i="54"/>
  <c r="J82" i="54"/>
  <c r="H82" i="54"/>
  <c r="G82" i="54"/>
  <c r="J81" i="54"/>
  <c r="H81" i="54"/>
  <c r="G81" i="54"/>
  <c r="J80" i="54"/>
  <c r="H80" i="54"/>
  <c r="G80" i="54"/>
  <c r="J79" i="54"/>
  <c r="H79" i="54"/>
  <c r="G79" i="54"/>
  <c r="J78" i="54"/>
  <c r="H78" i="54"/>
  <c r="G78" i="54"/>
  <c r="J77" i="54"/>
  <c r="H77" i="54"/>
  <c r="G77" i="54"/>
  <c r="J76" i="54"/>
  <c r="H76" i="54"/>
  <c r="G76" i="54"/>
  <c r="J75" i="54"/>
  <c r="H75" i="54"/>
  <c r="G75" i="54"/>
  <c r="J74" i="54"/>
  <c r="H74" i="54"/>
  <c r="G74" i="54"/>
  <c r="J73" i="54"/>
  <c r="H73" i="54"/>
  <c r="G73" i="54"/>
  <c r="J72" i="54"/>
  <c r="H72" i="54"/>
  <c r="G72" i="54"/>
  <c r="J71" i="54"/>
  <c r="H71" i="54"/>
  <c r="G71" i="54"/>
  <c r="J70" i="54"/>
  <c r="H70" i="54"/>
  <c r="G70" i="54"/>
  <c r="J69" i="54"/>
  <c r="H69" i="54"/>
  <c r="G69" i="54"/>
  <c r="J68" i="54"/>
  <c r="H68" i="54"/>
  <c r="G68" i="54"/>
  <c r="J67" i="54"/>
  <c r="H67" i="54"/>
  <c r="G67" i="54"/>
  <c r="J66" i="54"/>
  <c r="H66" i="54"/>
  <c r="G66" i="54"/>
  <c r="J65" i="54"/>
  <c r="H65" i="54"/>
  <c r="G65" i="54"/>
  <c r="J64" i="54"/>
  <c r="H64" i="54"/>
  <c r="G64" i="54"/>
  <c r="J63" i="54"/>
  <c r="H63" i="54"/>
  <c r="G63" i="54"/>
  <c r="J62" i="54"/>
  <c r="H62" i="54"/>
  <c r="G62" i="54"/>
  <c r="J61" i="54"/>
  <c r="H61" i="54"/>
  <c r="G61" i="54"/>
  <c r="J60" i="54"/>
  <c r="H60" i="54"/>
  <c r="G60" i="54"/>
  <c r="J59" i="54"/>
  <c r="H59" i="54"/>
  <c r="G59" i="54"/>
  <c r="J58" i="54"/>
  <c r="H58" i="54"/>
  <c r="G58" i="54"/>
  <c r="J57" i="54"/>
  <c r="H57" i="54"/>
  <c r="G57" i="54"/>
  <c r="J56" i="54"/>
  <c r="H56" i="54"/>
  <c r="G56" i="54"/>
  <c r="J55" i="54"/>
  <c r="H55" i="54"/>
  <c r="G55" i="54"/>
  <c r="J54" i="54"/>
  <c r="H54" i="54"/>
  <c r="G54" i="54"/>
  <c r="J53" i="54"/>
  <c r="H53" i="54"/>
  <c r="G53" i="54"/>
  <c r="J52" i="54"/>
  <c r="H52" i="54"/>
  <c r="G52" i="54"/>
  <c r="J51" i="54"/>
  <c r="H51" i="54"/>
  <c r="G51" i="54"/>
  <c r="J50" i="54"/>
  <c r="H50" i="54"/>
  <c r="G50" i="54"/>
  <c r="J49" i="54"/>
  <c r="H49" i="54"/>
  <c r="G49" i="54"/>
  <c r="J48" i="54"/>
  <c r="H48" i="54"/>
  <c r="G48" i="54"/>
  <c r="J47" i="54"/>
  <c r="H47" i="54"/>
  <c r="G47" i="54"/>
  <c r="J46" i="54"/>
  <c r="H46" i="54"/>
  <c r="G46" i="54"/>
  <c r="J45" i="54"/>
  <c r="H45" i="54"/>
  <c r="G45" i="54"/>
  <c r="J44" i="54"/>
  <c r="H44" i="54"/>
  <c r="G44" i="54"/>
  <c r="J43" i="54"/>
  <c r="H43" i="54"/>
  <c r="G43" i="54"/>
  <c r="J42" i="54"/>
  <c r="H42" i="54"/>
  <c r="G42" i="54"/>
  <c r="J41" i="54"/>
  <c r="H41" i="54"/>
  <c r="G41" i="54"/>
  <c r="J40" i="54"/>
  <c r="H40" i="54"/>
  <c r="G40" i="54"/>
  <c r="J39" i="54"/>
  <c r="H39" i="54"/>
  <c r="G39" i="54"/>
  <c r="J38" i="54"/>
  <c r="H38" i="54"/>
  <c r="G38" i="54"/>
  <c r="J37" i="54"/>
  <c r="H37" i="54"/>
  <c r="G37" i="54"/>
  <c r="J36" i="54"/>
  <c r="H36" i="54"/>
  <c r="G36" i="54"/>
  <c r="J35" i="54"/>
  <c r="H35" i="54"/>
  <c r="G35" i="54"/>
  <c r="J34" i="54"/>
  <c r="H34" i="54"/>
  <c r="G34" i="54"/>
  <c r="J33" i="54"/>
  <c r="H33" i="54"/>
  <c r="G33" i="54"/>
  <c r="J32" i="54"/>
  <c r="H32" i="54"/>
  <c r="G32" i="54"/>
  <c r="J31" i="54"/>
  <c r="H31" i="54"/>
  <c r="G31" i="54"/>
  <c r="J30" i="54"/>
  <c r="H30" i="54"/>
  <c r="G30" i="54"/>
  <c r="J29" i="54"/>
  <c r="H29" i="54"/>
  <c r="G29" i="54"/>
  <c r="J28" i="54"/>
  <c r="H28" i="54"/>
  <c r="G28" i="54"/>
  <c r="J27" i="54"/>
  <c r="H27" i="54"/>
  <c r="G27" i="54"/>
  <c r="J26" i="54"/>
  <c r="H26" i="54"/>
  <c r="G26" i="54"/>
  <c r="J25" i="54"/>
  <c r="H25" i="54"/>
  <c r="G25" i="54"/>
  <c r="J24" i="54"/>
  <c r="H24" i="54"/>
  <c r="G24" i="54"/>
  <c r="J23" i="54"/>
  <c r="H23" i="54"/>
  <c r="G23" i="54"/>
  <c r="J22" i="54"/>
  <c r="H22" i="54"/>
  <c r="G22" i="54"/>
  <c r="J21" i="54"/>
  <c r="H21" i="54"/>
  <c r="G21" i="54"/>
  <c r="J20" i="54"/>
  <c r="H20" i="54"/>
  <c r="G20" i="54"/>
  <c r="J19" i="54"/>
  <c r="H19" i="54"/>
  <c r="G19" i="54"/>
  <c r="J18" i="54"/>
  <c r="H18" i="54"/>
  <c r="G18" i="54"/>
  <c r="J17" i="54"/>
  <c r="H17" i="54"/>
  <c r="G17" i="54"/>
  <c r="J16" i="54"/>
  <c r="H16" i="54"/>
  <c r="G16" i="54"/>
  <c r="J15" i="54"/>
  <c r="H15" i="54"/>
  <c r="G15" i="54"/>
  <c r="J14" i="54"/>
  <c r="H14" i="54"/>
  <c r="G14" i="54"/>
  <c r="J13" i="54"/>
  <c r="H13" i="54"/>
  <c r="G13" i="54"/>
  <c r="J12" i="54"/>
  <c r="H12" i="54"/>
  <c r="G12" i="54"/>
  <c r="J11" i="54"/>
  <c r="H11" i="54"/>
  <c r="G11" i="54"/>
  <c r="J10" i="54"/>
  <c r="H10" i="54"/>
  <c r="G10" i="54"/>
  <c r="J9" i="54"/>
  <c r="H9" i="54"/>
  <c r="G9" i="54"/>
  <c r="J8" i="54"/>
  <c r="H8" i="54"/>
  <c r="G8" i="54"/>
  <c r="J7" i="54"/>
  <c r="H7" i="54"/>
  <c r="G7" i="54"/>
  <c r="J6" i="54"/>
  <c r="H6" i="54"/>
  <c r="G6" i="54"/>
  <c r="J5" i="54"/>
  <c r="H5" i="54"/>
  <c r="G5" i="54"/>
  <c r="J4" i="54"/>
  <c r="H4" i="54"/>
  <c r="G4" i="54"/>
  <c r="J3" i="54"/>
  <c r="H3" i="54"/>
  <c r="G3" i="54"/>
  <c r="J2" i="54"/>
  <c r="H2" i="54"/>
  <c r="G2" i="54"/>
  <c r="J38" i="52"/>
  <c r="H38" i="52"/>
  <c r="G38" i="52"/>
  <c r="J37" i="52"/>
  <c r="H37" i="52"/>
  <c r="G37" i="52"/>
  <c r="J36" i="52"/>
  <c r="H36" i="52"/>
  <c r="G36" i="52"/>
  <c r="J35" i="52"/>
  <c r="H35" i="52"/>
  <c r="G35" i="52"/>
  <c r="J34" i="52"/>
  <c r="H34" i="52"/>
  <c r="G34" i="52"/>
  <c r="J33" i="52"/>
  <c r="H33" i="52"/>
  <c r="G33" i="52"/>
  <c r="J32" i="52"/>
  <c r="H32" i="52"/>
  <c r="G32" i="52"/>
  <c r="J31" i="52"/>
  <c r="H31" i="52"/>
  <c r="G31" i="52"/>
  <c r="J30" i="52"/>
  <c r="H30" i="52"/>
  <c r="G30" i="52"/>
  <c r="J29" i="52"/>
  <c r="H29" i="52"/>
  <c r="G29" i="52"/>
  <c r="J28" i="52"/>
  <c r="H28" i="52"/>
  <c r="G28" i="52"/>
  <c r="J27" i="52"/>
  <c r="H27" i="52"/>
  <c r="G27" i="52"/>
  <c r="J26" i="52"/>
  <c r="H26" i="52"/>
  <c r="G26" i="52"/>
  <c r="J25" i="52"/>
  <c r="H25" i="52"/>
  <c r="G25" i="52"/>
  <c r="J24" i="52"/>
  <c r="H24" i="52"/>
  <c r="G24" i="52"/>
  <c r="J23" i="52"/>
  <c r="H23" i="52"/>
  <c r="G23" i="52"/>
  <c r="J22" i="52"/>
  <c r="H22" i="52"/>
  <c r="G22" i="52"/>
  <c r="J21" i="52"/>
  <c r="H21" i="52"/>
  <c r="G21" i="52"/>
  <c r="J20" i="52"/>
  <c r="H20" i="52"/>
  <c r="G20" i="52"/>
  <c r="J19" i="52"/>
  <c r="H19" i="52"/>
  <c r="G19" i="52"/>
  <c r="J18" i="52"/>
  <c r="H18" i="52"/>
  <c r="G18" i="52"/>
  <c r="J17" i="52"/>
  <c r="H17" i="52"/>
  <c r="G17" i="52"/>
  <c r="J16" i="52"/>
  <c r="H16" i="52"/>
  <c r="G16" i="52"/>
  <c r="J15" i="52"/>
  <c r="H15" i="52"/>
  <c r="G15" i="52"/>
  <c r="J14" i="52"/>
  <c r="H14" i="52"/>
  <c r="G14" i="52"/>
  <c r="J13" i="52"/>
  <c r="H13" i="52"/>
  <c r="G13" i="52"/>
  <c r="J12" i="52"/>
  <c r="H12" i="52"/>
  <c r="G12" i="52"/>
  <c r="J11" i="52"/>
  <c r="H11" i="52"/>
  <c r="G11" i="52"/>
  <c r="J10" i="52"/>
  <c r="H10" i="52"/>
  <c r="G10" i="52"/>
  <c r="J9" i="52"/>
  <c r="H9" i="52"/>
  <c r="G9" i="52"/>
  <c r="J8" i="52"/>
  <c r="H8" i="52"/>
  <c r="G8" i="52"/>
  <c r="J7" i="52"/>
  <c r="H7" i="52"/>
  <c r="G7" i="52"/>
  <c r="J6" i="52"/>
  <c r="H6" i="52"/>
  <c r="G6" i="52"/>
  <c r="J5" i="52"/>
  <c r="H5" i="52"/>
  <c r="G5" i="52"/>
  <c r="J4" i="52"/>
  <c r="H4" i="52"/>
  <c r="G4" i="52"/>
  <c r="J3" i="52"/>
  <c r="H3" i="52"/>
  <c r="G3" i="52"/>
  <c r="J2" i="52"/>
  <c r="H2" i="52"/>
  <c r="G2" i="52"/>
  <c r="J99" i="51"/>
  <c r="H99" i="51"/>
  <c r="G99" i="51"/>
  <c r="J98" i="51"/>
  <c r="H98" i="51"/>
  <c r="G98" i="51"/>
  <c r="J97" i="51"/>
  <c r="H97" i="51"/>
  <c r="G97" i="51"/>
  <c r="J96" i="51"/>
  <c r="H96" i="51"/>
  <c r="G96" i="51"/>
  <c r="J95" i="51"/>
  <c r="H95" i="51"/>
  <c r="G95" i="51"/>
  <c r="J94" i="51"/>
  <c r="H94" i="51"/>
  <c r="G94" i="51"/>
  <c r="J93" i="51"/>
  <c r="H93" i="51"/>
  <c r="G93" i="51"/>
  <c r="J92" i="51"/>
  <c r="H92" i="51"/>
  <c r="G92" i="51"/>
  <c r="J91" i="51"/>
  <c r="H91" i="51"/>
  <c r="G91" i="51"/>
  <c r="J90" i="51"/>
  <c r="H90" i="51"/>
  <c r="G90" i="51"/>
  <c r="J89" i="51"/>
  <c r="H89" i="51"/>
  <c r="G89" i="51"/>
  <c r="J88" i="51"/>
  <c r="H88" i="51"/>
  <c r="G88" i="51"/>
  <c r="J87" i="51"/>
  <c r="H87" i="51"/>
  <c r="G87" i="51"/>
  <c r="J86" i="51"/>
  <c r="H86" i="51"/>
  <c r="G86" i="51"/>
  <c r="J85" i="51"/>
  <c r="H85" i="51"/>
  <c r="G85" i="51"/>
  <c r="J84" i="51"/>
  <c r="H84" i="51"/>
  <c r="G84" i="51"/>
  <c r="J83" i="51"/>
  <c r="H83" i="51"/>
  <c r="G83" i="51"/>
  <c r="J82" i="51"/>
  <c r="H82" i="51"/>
  <c r="G82" i="51"/>
  <c r="J81" i="51"/>
  <c r="H81" i="51"/>
  <c r="G81" i="51"/>
  <c r="J80" i="51"/>
  <c r="H80" i="51"/>
  <c r="G80" i="51"/>
  <c r="J79" i="51"/>
  <c r="H79" i="51"/>
  <c r="G79" i="51"/>
  <c r="J78" i="51"/>
  <c r="H78" i="51"/>
  <c r="G78" i="51"/>
  <c r="J77" i="51"/>
  <c r="H77" i="51"/>
  <c r="G77" i="51"/>
  <c r="J76" i="51"/>
  <c r="H76" i="51"/>
  <c r="G76" i="51"/>
  <c r="J75" i="51"/>
  <c r="H75" i="51"/>
  <c r="G75" i="51"/>
  <c r="J74" i="51"/>
  <c r="H74" i="51"/>
  <c r="G74" i="51"/>
  <c r="J73" i="51"/>
  <c r="H73" i="51"/>
  <c r="G73" i="51"/>
  <c r="J72" i="51"/>
  <c r="H72" i="51"/>
  <c r="G72" i="51"/>
  <c r="J71" i="51"/>
  <c r="H71" i="51"/>
  <c r="G71" i="51"/>
  <c r="J70" i="51"/>
  <c r="H70" i="51"/>
  <c r="G70" i="51"/>
  <c r="J69" i="51"/>
  <c r="H69" i="51"/>
  <c r="G69" i="51"/>
  <c r="J68" i="51"/>
  <c r="H68" i="51"/>
  <c r="G68" i="51"/>
  <c r="J67" i="51"/>
  <c r="H67" i="51"/>
  <c r="G67" i="51"/>
  <c r="J66" i="51"/>
  <c r="H66" i="51"/>
  <c r="G66" i="51"/>
  <c r="J65" i="51"/>
  <c r="H65" i="51"/>
  <c r="G65" i="51"/>
  <c r="J64" i="51"/>
  <c r="H64" i="51"/>
  <c r="G64" i="51"/>
  <c r="J63" i="51"/>
  <c r="H63" i="51"/>
  <c r="G63" i="51"/>
  <c r="J62" i="51"/>
  <c r="H62" i="51"/>
  <c r="G62" i="51"/>
  <c r="J61" i="51"/>
  <c r="H61" i="51"/>
  <c r="G61" i="51"/>
  <c r="J60" i="51"/>
  <c r="H60" i="51"/>
  <c r="G60" i="51"/>
  <c r="J59" i="51"/>
  <c r="H59" i="51"/>
  <c r="G59" i="51"/>
  <c r="J58" i="51"/>
  <c r="H58" i="51"/>
  <c r="G58" i="51"/>
  <c r="J57" i="51"/>
  <c r="H57" i="51"/>
  <c r="G57" i="51"/>
  <c r="J56" i="51"/>
  <c r="H56" i="51"/>
  <c r="G56" i="51"/>
  <c r="J55" i="51"/>
  <c r="H55" i="51"/>
  <c r="G55" i="51"/>
  <c r="J54" i="51"/>
  <c r="H54" i="51"/>
  <c r="G54" i="51"/>
  <c r="J53" i="51"/>
  <c r="H53" i="51"/>
  <c r="G53" i="51"/>
  <c r="J52" i="51"/>
  <c r="H52" i="51"/>
  <c r="G52" i="51"/>
  <c r="J51" i="51"/>
  <c r="H51" i="51"/>
  <c r="G51" i="51"/>
  <c r="J50" i="51"/>
  <c r="H50" i="51"/>
  <c r="G50" i="51"/>
  <c r="J49" i="51"/>
  <c r="H49" i="51"/>
  <c r="G49" i="51"/>
  <c r="J48" i="51"/>
  <c r="H48" i="51"/>
  <c r="G48" i="51"/>
  <c r="J47" i="51"/>
  <c r="H47" i="51"/>
  <c r="G47" i="51"/>
  <c r="J46" i="51"/>
  <c r="H46" i="51"/>
  <c r="G46" i="51"/>
  <c r="J45" i="51"/>
  <c r="H45" i="51"/>
  <c r="G45" i="51"/>
  <c r="J44" i="51"/>
  <c r="H44" i="51"/>
  <c r="G44" i="51"/>
  <c r="J43" i="51"/>
  <c r="H43" i="51"/>
  <c r="G43" i="51"/>
  <c r="J42" i="51"/>
  <c r="H42" i="51"/>
  <c r="G42" i="51"/>
  <c r="J41" i="51"/>
  <c r="H41" i="51"/>
  <c r="G41" i="51"/>
  <c r="J40" i="51"/>
  <c r="H40" i="51"/>
  <c r="G40" i="51"/>
  <c r="J39" i="51"/>
  <c r="H39" i="51"/>
  <c r="G39" i="51"/>
  <c r="J38" i="51"/>
  <c r="H38" i="51"/>
  <c r="G38" i="51"/>
  <c r="J37" i="51"/>
  <c r="H37" i="51"/>
  <c r="G37" i="51"/>
  <c r="J36" i="51"/>
  <c r="H36" i="51"/>
  <c r="G36" i="51"/>
  <c r="J35" i="51"/>
  <c r="H35" i="51"/>
  <c r="G35" i="51"/>
  <c r="J34" i="51"/>
  <c r="H34" i="51"/>
  <c r="G34" i="51"/>
  <c r="J33" i="51"/>
  <c r="H33" i="51"/>
  <c r="G33" i="51"/>
  <c r="J32" i="51"/>
  <c r="H32" i="51"/>
  <c r="G32" i="51"/>
  <c r="J31" i="51"/>
  <c r="H31" i="51"/>
  <c r="G31" i="51"/>
  <c r="J30" i="51"/>
  <c r="H30" i="51"/>
  <c r="G30" i="51"/>
  <c r="J29" i="51"/>
  <c r="H29" i="51"/>
  <c r="G29" i="51"/>
  <c r="J28" i="51"/>
  <c r="H28" i="51"/>
  <c r="G28" i="51"/>
  <c r="J27" i="51"/>
  <c r="H27" i="51"/>
  <c r="G27" i="51"/>
  <c r="J26" i="51"/>
  <c r="H26" i="51"/>
  <c r="G26" i="51"/>
  <c r="J25" i="51"/>
  <c r="H25" i="51"/>
  <c r="G25" i="51"/>
  <c r="J24" i="51"/>
  <c r="H24" i="51"/>
  <c r="G24" i="51"/>
  <c r="J23" i="51"/>
  <c r="H23" i="51"/>
  <c r="G23" i="51"/>
  <c r="J22" i="51"/>
  <c r="H22" i="51"/>
  <c r="G22" i="51"/>
  <c r="J21" i="51"/>
  <c r="H21" i="51"/>
  <c r="G21" i="51"/>
  <c r="J20" i="51"/>
  <c r="H20" i="51"/>
  <c r="G20" i="51"/>
  <c r="J19" i="51"/>
  <c r="H19" i="51"/>
  <c r="G19" i="51"/>
  <c r="J18" i="51"/>
  <c r="H18" i="51"/>
  <c r="G18" i="51"/>
  <c r="J17" i="51"/>
  <c r="H17" i="51"/>
  <c r="G17" i="51"/>
  <c r="J16" i="51"/>
  <c r="H16" i="51"/>
  <c r="G16" i="51"/>
  <c r="J15" i="51"/>
  <c r="H15" i="51"/>
  <c r="G15" i="51"/>
  <c r="J14" i="51"/>
  <c r="H14" i="51"/>
  <c r="G14" i="51"/>
  <c r="J13" i="51"/>
  <c r="H13" i="51"/>
  <c r="G13" i="51"/>
  <c r="J12" i="51"/>
  <c r="H12" i="51"/>
  <c r="G12" i="51"/>
  <c r="J11" i="51"/>
  <c r="H11" i="51"/>
  <c r="G11" i="51"/>
  <c r="J10" i="51"/>
  <c r="H10" i="51"/>
  <c r="G10" i="51"/>
  <c r="J9" i="51"/>
  <c r="H9" i="51"/>
  <c r="G9" i="51"/>
  <c r="J8" i="51"/>
  <c r="H8" i="51"/>
  <c r="G8" i="51"/>
  <c r="J7" i="51"/>
  <c r="H7" i="51"/>
  <c r="G7" i="51"/>
  <c r="J6" i="51"/>
  <c r="H6" i="51"/>
  <c r="G6" i="51"/>
  <c r="J5" i="51"/>
  <c r="H5" i="51"/>
  <c r="G5" i="51"/>
  <c r="J4" i="51"/>
  <c r="H4" i="51"/>
  <c r="G4" i="51"/>
  <c r="J3" i="51"/>
  <c r="H3" i="51"/>
  <c r="G3" i="51"/>
  <c r="J2" i="51"/>
  <c r="H2" i="51"/>
  <c r="G2" i="51"/>
  <c r="J112" i="49"/>
  <c r="H112" i="49"/>
  <c r="G112" i="49"/>
  <c r="J111" i="49"/>
  <c r="H111" i="49"/>
  <c r="G111" i="49"/>
  <c r="J110" i="49"/>
  <c r="H110" i="49"/>
  <c r="G110" i="49"/>
  <c r="J109" i="49"/>
  <c r="H109" i="49"/>
  <c r="G109" i="49"/>
  <c r="J108" i="49"/>
  <c r="H108" i="49"/>
  <c r="G108" i="49"/>
  <c r="J107" i="49"/>
  <c r="H107" i="49"/>
  <c r="G107" i="49"/>
  <c r="J106" i="49"/>
  <c r="H106" i="49"/>
  <c r="G106" i="49"/>
  <c r="J105" i="49"/>
  <c r="H105" i="49"/>
  <c r="G105" i="49"/>
  <c r="J104" i="49"/>
  <c r="H104" i="49"/>
  <c r="G104" i="49"/>
  <c r="J103" i="49"/>
  <c r="H103" i="49"/>
  <c r="G103" i="49"/>
  <c r="J102" i="49"/>
  <c r="H102" i="49"/>
  <c r="G102" i="49"/>
  <c r="J101" i="49"/>
  <c r="H101" i="49"/>
  <c r="G101" i="49"/>
  <c r="J100" i="49"/>
  <c r="H100" i="49"/>
  <c r="G100" i="49"/>
  <c r="J99" i="49"/>
  <c r="H99" i="49"/>
  <c r="G99" i="49"/>
  <c r="J98" i="49"/>
  <c r="H98" i="49"/>
  <c r="G98" i="49"/>
  <c r="J97" i="49"/>
  <c r="H97" i="49"/>
  <c r="G97" i="49"/>
  <c r="J96" i="49"/>
  <c r="H96" i="49"/>
  <c r="G96" i="49"/>
  <c r="J95" i="49"/>
  <c r="H95" i="49"/>
  <c r="G95" i="49"/>
  <c r="J94" i="49"/>
  <c r="H94" i="49"/>
  <c r="G94" i="49"/>
  <c r="J93" i="49"/>
  <c r="H93" i="49"/>
  <c r="G93" i="49"/>
  <c r="J92" i="49"/>
  <c r="H92" i="49"/>
  <c r="G92" i="49"/>
  <c r="J91" i="49"/>
  <c r="H91" i="49"/>
  <c r="G91" i="49"/>
  <c r="J90" i="49"/>
  <c r="H90" i="49"/>
  <c r="G90" i="49"/>
  <c r="J89" i="49"/>
  <c r="H89" i="49"/>
  <c r="G89" i="49"/>
  <c r="J88" i="49"/>
  <c r="H88" i="49"/>
  <c r="G88" i="49"/>
  <c r="J87" i="49"/>
  <c r="H87" i="49"/>
  <c r="G87" i="49"/>
  <c r="J86" i="49"/>
  <c r="H86" i="49"/>
  <c r="G86" i="49"/>
  <c r="J85" i="49"/>
  <c r="H85" i="49"/>
  <c r="G85" i="49"/>
  <c r="J84" i="49"/>
  <c r="H84" i="49"/>
  <c r="G84" i="49"/>
  <c r="J83" i="49"/>
  <c r="H83" i="49"/>
  <c r="G83" i="49"/>
  <c r="J82" i="49"/>
  <c r="H82" i="49"/>
  <c r="G82" i="49"/>
  <c r="J81" i="49"/>
  <c r="H81" i="49"/>
  <c r="G81" i="49"/>
  <c r="J80" i="49"/>
  <c r="H80" i="49"/>
  <c r="G80" i="49"/>
  <c r="J79" i="49"/>
  <c r="H79" i="49"/>
  <c r="G79" i="49"/>
  <c r="J78" i="49"/>
  <c r="H78" i="49"/>
  <c r="G78" i="49"/>
  <c r="J77" i="49"/>
  <c r="H77" i="49"/>
  <c r="G77" i="49"/>
  <c r="J76" i="49"/>
  <c r="H76" i="49"/>
  <c r="G76" i="49"/>
  <c r="J75" i="49"/>
  <c r="H75" i="49"/>
  <c r="G75" i="49"/>
  <c r="J74" i="49"/>
  <c r="H74" i="49"/>
  <c r="G74" i="49"/>
  <c r="J73" i="49"/>
  <c r="H73" i="49"/>
  <c r="G73" i="49"/>
  <c r="J72" i="49"/>
  <c r="H72" i="49"/>
  <c r="G72" i="49"/>
  <c r="J71" i="49"/>
  <c r="H71" i="49"/>
  <c r="G71" i="49"/>
  <c r="J70" i="49"/>
  <c r="H70" i="49"/>
  <c r="G70" i="49"/>
  <c r="J69" i="49"/>
  <c r="H69" i="49"/>
  <c r="G69" i="49"/>
  <c r="J68" i="49"/>
  <c r="H68" i="49"/>
  <c r="G68" i="49"/>
  <c r="J67" i="49"/>
  <c r="H67" i="49"/>
  <c r="G67" i="49"/>
  <c r="J66" i="49"/>
  <c r="H66" i="49"/>
  <c r="G66" i="49"/>
  <c r="J65" i="49"/>
  <c r="H65" i="49"/>
  <c r="G65" i="49"/>
  <c r="J64" i="49"/>
  <c r="H64" i="49"/>
  <c r="G64" i="49"/>
  <c r="J63" i="49"/>
  <c r="H63" i="49"/>
  <c r="G63" i="49"/>
  <c r="J62" i="49"/>
  <c r="H62" i="49"/>
  <c r="G62" i="49"/>
  <c r="J61" i="49"/>
  <c r="H61" i="49"/>
  <c r="G61" i="49"/>
  <c r="J60" i="49"/>
  <c r="H60" i="49"/>
  <c r="G60" i="49"/>
  <c r="J59" i="49"/>
  <c r="H59" i="49"/>
  <c r="G59" i="49"/>
  <c r="J58" i="49"/>
  <c r="H58" i="49"/>
  <c r="G58" i="49"/>
  <c r="J57" i="49"/>
  <c r="H57" i="49"/>
  <c r="G57" i="49"/>
  <c r="J56" i="49"/>
  <c r="H56" i="49"/>
  <c r="G56" i="49"/>
  <c r="J55" i="49"/>
  <c r="H55" i="49"/>
  <c r="G55" i="49"/>
  <c r="J54" i="49"/>
  <c r="H54" i="49"/>
  <c r="G54" i="49"/>
  <c r="J53" i="49"/>
  <c r="H53" i="49"/>
  <c r="G53" i="49"/>
  <c r="J52" i="49"/>
  <c r="H52" i="49"/>
  <c r="G52" i="49"/>
  <c r="J51" i="49"/>
  <c r="H51" i="49"/>
  <c r="G51" i="49"/>
  <c r="J50" i="49"/>
  <c r="H50" i="49"/>
  <c r="G50" i="49"/>
  <c r="J49" i="49"/>
  <c r="H49" i="49"/>
  <c r="G49" i="49"/>
  <c r="J48" i="49"/>
  <c r="H48" i="49"/>
  <c r="G48" i="49"/>
  <c r="J47" i="49"/>
  <c r="H47" i="49"/>
  <c r="G47" i="49"/>
  <c r="J46" i="49"/>
  <c r="H46" i="49"/>
  <c r="G46" i="49"/>
  <c r="J45" i="49"/>
  <c r="H45" i="49"/>
  <c r="G45" i="49"/>
  <c r="J44" i="49"/>
  <c r="H44" i="49"/>
  <c r="G44" i="49"/>
  <c r="J43" i="49"/>
  <c r="H43" i="49"/>
  <c r="G43" i="49"/>
  <c r="J42" i="49"/>
  <c r="H42" i="49"/>
  <c r="G42" i="49"/>
  <c r="J41" i="49"/>
  <c r="H41" i="49"/>
  <c r="G41" i="49"/>
  <c r="J40" i="49"/>
  <c r="H40" i="49"/>
  <c r="G40" i="49"/>
  <c r="J39" i="49"/>
  <c r="H39" i="49"/>
  <c r="G39" i="49"/>
  <c r="J38" i="49"/>
  <c r="H38" i="49"/>
  <c r="G38" i="49"/>
  <c r="J37" i="49"/>
  <c r="H37" i="49"/>
  <c r="G37" i="49"/>
  <c r="J36" i="49"/>
  <c r="H36" i="49"/>
  <c r="G36" i="49"/>
  <c r="J35" i="49"/>
  <c r="H35" i="49"/>
  <c r="G35" i="49"/>
  <c r="J34" i="49"/>
  <c r="H34" i="49"/>
  <c r="G34" i="49"/>
  <c r="J33" i="49"/>
  <c r="H33" i="49"/>
  <c r="G33" i="49"/>
  <c r="J32" i="49"/>
  <c r="H32" i="49"/>
  <c r="G32" i="49"/>
  <c r="J31" i="49"/>
  <c r="H31" i="49"/>
  <c r="G31" i="49"/>
  <c r="J30" i="49"/>
  <c r="H30" i="49"/>
  <c r="G30" i="49"/>
  <c r="J29" i="49"/>
  <c r="H29" i="49"/>
  <c r="G29" i="49"/>
  <c r="J28" i="49"/>
  <c r="H28" i="49"/>
  <c r="G28" i="49"/>
  <c r="J27" i="49"/>
  <c r="H27" i="49"/>
  <c r="G27" i="49"/>
  <c r="J26" i="49"/>
  <c r="H26" i="49"/>
  <c r="G26" i="49"/>
  <c r="J25" i="49"/>
  <c r="H25" i="49"/>
  <c r="G25" i="49"/>
  <c r="J24" i="49"/>
  <c r="H24" i="49"/>
  <c r="G24" i="49"/>
  <c r="J23" i="49"/>
  <c r="H23" i="49"/>
  <c r="G23" i="49"/>
  <c r="J22" i="49"/>
  <c r="H22" i="49"/>
  <c r="G22" i="49"/>
  <c r="J21" i="49"/>
  <c r="H21" i="49"/>
  <c r="G21" i="49"/>
  <c r="J20" i="49"/>
  <c r="H20" i="49"/>
  <c r="G20" i="49"/>
  <c r="J19" i="49"/>
  <c r="H19" i="49"/>
  <c r="G19" i="49"/>
  <c r="J18" i="49"/>
  <c r="H18" i="49"/>
  <c r="G18" i="49"/>
  <c r="J17" i="49"/>
  <c r="H17" i="49"/>
  <c r="G17" i="49"/>
  <c r="J16" i="49"/>
  <c r="H16" i="49"/>
  <c r="G16" i="49"/>
  <c r="J15" i="49"/>
  <c r="H15" i="49"/>
  <c r="G15" i="49"/>
  <c r="J14" i="49"/>
  <c r="H14" i="49"/>
  <c r="G14" i="49"/>
  <c r="J13" i="49"/>
  <c r="H13" i="49"/>
  <c r="G13" i="49"/>
  <c r="J12" i="49"/>
  <c r="H12" i="49"/>
  <c r="G12" i="49"/>
  <c r="J11" i="49"/>
  <c r="H11" i="49"/>
  <c r="G11" i="49"/>
  <c r="J10" i="49"/>
  <c r="H10" i="49"/>
  <c r="G10" i="49"/>
  <c r="J9" i="49"/>
  <c r="H9" i="49"/>
  <c r="G9" i="49"/>
  <c r="J8" i="49"/>
  <c r="H8" i="49"/>
  <c r="G8" i="49"/>
  <c r="J7" i="49"/>
  <c r="H7" i="49"/>
  <c r="G7" i="49"/>
  <c r="J6" i="49"/>
  <c r="H6" i="49"/>
  <c r="G6" i="49"/>
  <c r="J5" i="49"/>
  <c r="H5" i="49"/>
  <c r="G5" i="49"/>
  <c r="J4" i="49"/>
  <c r="H4" i="49"/>
  <c r="G4" i="49"/>
  <c r="J3" i="49"/>
  <c r="H3" i="49"/>
  <c r="G3" i="49"/>
  <c r="J2" i="49"/>
  <c r="H2" i="49"/>
  <c r="G2" i="49"/>
  <c r="J123" i="45"/>
  <c r="H123" i="45"/>
  <c r="G123" i="45"/>
  <c r="J122" i="45"/>
  <c r="H122" i="45"/>
  <c r="G122" i="45"/>
  <c r="J121" i="45"/>
  <c r="H121" i="45"/>
  <c r="G121" i="45"/>
  <c r="J120" i="45"/>
  <c r="H120" i="45"/>
  <c r="G120" i="45"/>
  <c r="J119" i="45"/>
  <c r="H119" i="45"/>
  <c r="G119" i="45"/>
  <c r="J118" i="45"/>
  <c r="H118" i="45"/>
  <c r="G118" i="45"/>
  <c r="J117" i="45"/>
  <c r="H117" i="45"/>
  <c r="G117" i="45"/>
  <c r="J116" i="45"/>
  <c r="H116" i="45"/>
  <c r="G116" i="45"/>
  <c r="J115" i="45"/>
  <c r="H115" i="45"/>
  <c r="G115" i="45"/>
  <c r="J114" i="45"/>
  <c r="H114" i="45"/>
  <c r="G114" i="45"/>
  <c r="J113" i="45"/>
  <c r="H113" i="45"/>
  <c r="G113" i="45"/>
  <c r="J112" i="45"/>
  <c r="H112" i="45"/>
  <c r="G112" i="45"/>
  <c r="J111" i="45"/>
  <c r="H111" i="45"/>
  <c r="G111" i="45"/>
  <c r="J110" i="45"/>
  <c r="H110" i="45"/>
  <c r="G110" i="45"/>
  <c r="J109" i="45"/>
  <c r="H109" i="45"/>
  <c r="G109" i="45"/>
  <c r="J108" i="45"/>
  <c r="H108" i="45"/>
  <c r="G108" i="45"/>
  <c r="J107" i="45"/>
  <c r="H107" i="45"/>
  <c r="G107" i="45"/>
  <c r="J106" i="45"/>
  <c r="H106" i="45"/>
  <c r="G106" i="45"/>
  <c r="J105" i="45"/>
  <c r="H105" i="45"/>
  <c r="G105" i="45"/>
  <c r="J104" i="45"/>
  <c r="H104" i="45"/>
  <c r="G104" i="45"/>
  <c r="J103" i="45"/>
  <c r="H103" i="45"/>
  <c r="G103" i="45"/>
  <c r="J102" i="45"/>
  <c r="H102" i="45"/>
  <c r="G102" i="45"/>
  <c r="J101" i="45"/>
  <c r="H101" i="45"/>
  <c r="G101" i="45"/>
  <c r="J100" i="45"/>
  <c r="H100" i="45"/>
  <c r="G100" i="45"/>
  <c r="J99" i="45"/>
  <c r="H99" i="45"/>
  <c r="G99" i="45"/>
  <c r="J98" i="45"/>
  <c r="H98" i="45"/>
  <c r="G98" i="45"/>
  <c r="J97" i="45"/>
  <c r="H97" i="45"/>
  <c r="G97" i="45"/>
  <c r="J96" i="45"/>
  <c r="H96" i="45"/>
  <c r="G96" i="45"/>
  <c r="J95" i="45"/>
  <c r="H95" i="45"/>
  <c r="G95" i="45"/>
  <c r="J94" i="45"/>
  <c r="H94" i="45"/>
  <c r="G94" i="45"/>
  <c r="J93" i="45"/>
  <c r="H93" i="45"/>
  <c r="G93" i="45"/>
  <c r="J92" i="45"/>
  <c r="H92" i="45"/>
  <c r="G92" i="45"/>
  <c r="J91" i="45"/>
  <c r="H91" i="45"/>
  <c r="G91" i="45"/>
  <c r="J90" i="45"/>
  <c r="H90" i="45"/>
  <c r="G90" i="45"/>
  <c r="J89" i="45"/>
  <c r="H89" i="45"/>
  <c r="G89" i="45"/>
  <c r="J88" i="45"/>
  <c r="H88" i="45"/>
  <c r="G88" i="45"/>
  <c r="J87" i="45"/>
  <c r="H87" i="45"/>
  <c r="G87" i="45"/>
  <c r="J86" i="45"/>
  <c r="H86" i="45"/>
  <c r="G86" i="45"/>
  <c r="J85" i="45"/>
  <c r="H85" i="45"/>
  <c r="G85" i="45"/>
  <c r="J84" i="45"/>
  <c r="H84" i="45"/>
  <c r="G84" i="45"/>
  <c r="J83" i="45"/>
  <c r="H83" i="45"/>
  <c r="G83" i="45"/>
  <c r="J82" i="45"/>
  <c r="H82" i="45"/>
  <c r="G82" i="45"/>
  <c r="J81" i="45"/>
  <c r="H81" i="45"/>
  <c r="G81" i="45"/>
  <c r="J80" i="45"/>
  <c r="H80" i="45"/>
  <c r="G80" i="45"/>
  <c r="J79" i="45"/>
  <c r="H79" i="45"/>
  <c r="G79" i="45"/>
  <c r="J78" i="45"/>
  <c r="H78" i="45"/>
  <c r="G78" i="45"/>
  <c r="J77" i="45"/>
  <c r="H77" i="45"/>
  <c r="G77" i="45"/>
  <c r="J76" i="45"/>
  <c r="H76" i="45"/>
  <c r="G76" i="45"/>
  <c r="J75" i="45"/>
  <c r="H75" i="45"/>
  <c r="G75" i="45"/>
  <c r="J74" i="45"/>
  <c r="H74" i="45"/>
  <c r="G74" i="45"/>
  <c r="J73" i="45"/>
  <c r="H73" i="45"/>
  <c r="G73" i="45"/>
  <c r="J72" i="45"/>
  <c r="H72" i="45"/>
  <c r="G72" i="45"/>
  <c r="J71" i="45"/>
  <c r="H71" i="45"/>
  <c r="G71" i="45"/>
  <c r="J70" i="45"/>
  <c r="H70" i="45"/>
  <c r="G70" i="45"/>
  <c r="J69" i="45"/>
  <c r="H69" i="45"/>
  <c r="G69" i="45"/>
  <c r="J68" i="45"/>
  <c r="H68" i="45"/>
  <c r="G68" i="45"/>
  <c r="J67" i="45"/>
  <c r="H67" i="45"/>
  <c r="G67" i="45"/>
  <c r="J66" i="45"/>
  <c r="H66" i="45"/>
  <c r="G66" i="45"/>
  <c r="J65" i="45"/>
  <c r="H65" i="45"/>
  <c r="G65" i="45"/>
  <c r="J64" i="45"/>
  <c r="H64" i="45"/>
  <c r="G64" i="45"/>
  <c r="J63" i="45"/>
  <c r="H63" i="45"/>
  <c r="G63" i="45"/>
  <c r="J62" i="45"/>
  <c r="H62" i="45"/>
  <c r="G62" i="45"/>
  <c r="J61" i="45"/>
  <c r="H61" i="45"/>
  <c r="G61" i="45"/>
  <c r="J60" i="45"/>
  <c r="H60" i="45"/>
  <c r="G60" i="45"/>
  <c r="J59" i="45"/>
  <c r="H59" i="45"/>
  <c r="G59" i="45"/>
  <c r="J58" i="45"/>
  <c r="H58" i="45"/>
  <c r="G58" i="45"/>
  <c r="J57" i="45"/>
  <c r="H57" i="45"/>
  <c r="G57" i="45"/>
  <c r="J56" i="45"/>
  <c r="H56" i="45"/>
  <c r="G56" i="45"/>
  <c r="J55" i="45"/>
  <c r="H55" i="45"/>
  <c r="G55" i="45"/>
  <c r="J54" i="45"/>
  <c r="H54" i="45"/>
  <c r="G54" i="45"/>
  <c r="J53" i="45"/>
  <c r="H53" i="45"/>
  <c r="G53" i="45"/>
  <c r="J52" i="45"/>
  <c r="H52" i="45"/>
  <c r="G52" i="45"/>
  <c r="J51" i="45"/>
  <c r="H51" i="45"/>
  <c r="G51" i="45"/>
  <c r="J50" i="45"/>
  <c r="H50" i="45"/>
  <c r="G50" i="45"/>
  <c r="J49" i="45"/>
  <c r="H49" i="45"/>
  <c r="G49" i="45"/>
  <c r="J48" i="45"/>
  <c r="H48" i="45"/>
  <c r="G48" i="45"/>
  <c r="J47" i="45"/>
  <c r="H47" i="45"/>
  <c r="G47" i="45"/>
  <c r="J46" i="45"/>
  <c r="H46" i="45"/>
  <c r="G46" i="45"/>
  <c r="J45" i="45"/>
  <c r="H45" i="45"/>
  <c r="G45" i="45"/>
  <c r="J44" i="45"/>
  <c r="H44" i="45"/>
  <c r="G44" i="45"/>
  <c r="J43" i="45"/>
  <c r="H43" i="45"/>
  <c r="G43" i="45"/>
  <c r="J42" i="45"/>
  <c r="H42" i="45"/>
  <c r="G42" i="45"/>
  <c r="J41" i="45"/>
  <c r="H41" i="45"/>
  <c r="G41" i="45"/>
  <c r="J40" i="45"/>
  <c r="H40" i="45"/>
  <c r="G40" i="45"/>
  <c r="J39" i="45"/>
  <c r="H39" i="45"/>
  <c r="G39" i="45"/>
  <c r="J38" i="45"/>
  <c r="H38" i="45"/>
  <c r="G38" i="45"/>
  <c r="J37" i="45"/>
  <c r="H37" i="45"/>
  <c r="G37" i="45"/>
  <c r="J36" i="45"/>
  <c r="H36" i="45"/>
  <c r="G36" i="45"/>
  <c r="J35" i="45"/>
  <c r="H35" i="45"/>
  <c r="G35" i="45"/>
  <c r="J34" i="45"/>
  <c r="H34" i="45"/>
  <c r="G34" i="45"/>
  <c r="J33" i="45"/>
  <c r="H33" i="45"/>
  <c r="G33" i="45"/>
  <c r="J32" i="45"/>
  <c r="H32" i="45"/>
  <c r="G32" i="45"/>
  <c r="J31" i="45"/>
  <c r="H31" i="45"/>
  <c r="G31" i="45"/>
  <c r="J30" i="45"/>
  <c r="H30" i="45"/>
  <c r="G30" i="45"/>
  <c r="J29" i="45"/>
  <c r="H29" i="45"/>
  <c r="G29" i="45"/>
  <c r="J28" i="45"/>
  <c r="H28" i="45"/>
  <c r="G28" i="45"/>
  <c r="J27" i="45"/>
  <c r="H27" i="45"/>
  <c r="G27" i="45"/>
  <c r="J26" i="45"/>
  <c r="H26" i="45"/>
  <c r="G26" i="45"/>
  <c r="J25" i="45"/>
  <c r="H25" i="45"/>
  <c r="G25" i="45"/>
  <c r="J24" i="45"/>
  <c r="H24" i="45"/>
  <c r="G24" i="45"/>
  <c r="J23" i="45"/>
  <c r="H23" i="45"/>
  <c r="G23" i="45"/>
  <c r="J22" i="45"/>
  <c r="H22" i="45"/>
  <c r="G22" i="45"/>
  <c r="J21" i="45"/>
  <c r="H21" i="45"/>
  <c r="G21" i="45"/>
  <c r="J20" i="45"/>
  <c r="H20" i="45"/>
  <c r="G20" i="45"/>
  <c r="J19" i="45"/>
  <c r="H19" i="45"/>
  <c r="G19" i="45"/>
  <c r="J18" i="45"/>
  <c r="H18" i="45"/>
  <c r="G18" i="45"/>
  <c r="J17" i="45"/>
  <c r="H17" i="45"/>
  <c r="G17" i="45"/>
  <c r="J16" i="45"/>
  <c r="H16" i="45"/>
  <c r="G16" i="45"/>
  <c r="J15" i="45"/>
  <c r="H15" i="45"/>
  <c r="G15" i="45"/>
  <c r="J14" i="45"/>
  <c r="H14" i="45"/>
  <c r="G14" i="45"/>
  <c r="J13" i="45"/>
  <c r="H13" i="45"/>
  <c r="G13" i="45"/>
  <c r="J12" i="45"/>
  <c r="H12" i="45"/>
  <c r="G12" i="45"/>
  <c r="J11" i="45"/>
  <c r="H11" i="45"/>
  <c r="G11" i="45"/>
  <c r="J10" i="45"/>
  <c r="H10" i="45"/>
  <c r="G10" i="45"/>
  <c r="J9" i="45"/>
  <c r="H9" i="45"/>
  <c r="G9" i="45"/>
  <c r="J8" i="45"/>
  <c r="H8" i="45"/>
  <c r="G8" i="45"/>
  <c r="J7" i="45"/>
  <c r="H7" i="45"/>
  <c r="G7" i="45"/>
  <c r="J6" i="45"/>
  <c r="H6" i="45"/>
  <c r="G6" i="45"/>
  <c r="J5" i="45"/>
  <c r="H5" i="45"/>
  <c r="G5" i="45"/>
  <c r="J4" i="45"/>
  <c r="H4" i="45"/>
  <c r="G4" i="45"/>
  <c r="J3" i="45"/>
  <c r="H3" i="45"/>
  <c r="G3" i="45"/>
  <c r="J2" i="45"/>
  <c r="H2" i="45"/>
  <c r="G2" i="45"/>
  <c r="H37" i="44"/>
  <c r="J37" i="44" s="1"/>
  <c r="G37" i="44"/>
  <c r="H36" i="44"/>
  <c r="J36" i="44" s="1"/>
  <c r="G36" i="44"/>
  <c r="H35" i="44"/>
  <c r="J35" i="44" s="1"/>
  <c r="G35" i="44"/>
  <c r="H34" i="44"/>
  <c r="J34" i="44" s="1"/>
  <c r="G34" i="44"/>
  <c r="H33" i="44"/>
  <c r="J33" i="44" s="1"/>
  <c r="G33" i="44"/>
  <c r="H32" i="44"/>
  <c r="J32" i="44" s="1"/>
  <c r="G32" i="44"/>
  <c r="H31" i="44"/>
  <c r="J31" i="44" s="1"/>
  <c r="G31" i="44"/>
  <c r="H30" i="44"/>
  <c r="J30" i="44" s="1"/>
  <c r="G30" i="44"/>
  <c r="H29" i="44"/>
  <c r="J29" i="44" s="1"/>
  <c r="G29" i="44"/>
  <c r="H28" i="44"/>
  <c r="J28" i="44" s="1"/>
  <c r="G28" i="44"/>
  <c r="H27" i="44"/>
  <c r="J27" i="44" s="1"/>
  <c r="G27" i="44"/>
  <c r="H26" i="44"/>
  <c r="J26" i="44" s="1"/>
  <c r="G26" i="44"/>
  <c r="H25" i="44"/>
  <c r="J25" i="44" s="1"/>
  <c r="G25" i="44"/>
  <c r="H24" i="44"/>
  <c r="J24" i="44" s="1"/>
  <c r="G24" i="44"/>
  <c r="J23" i="44"/>
  <c r="H23" i="44"/>
  <c r="G23" i="44"/>
  <c r="H22" i="44"/>
  <c r="J22" i="44" s="1"/>
  <c r="G22" i="44"/>
  <c r="H21" i="44"/>
  <c r="J21" i="44" s="1"/>
  <c r="G21" i="44"/>
  <c r="J20" i="44"/>
  <c r="H20" i="44"/>
  <c r="G20" i="44"/>
  <c r="H19" i="44"/>
  <c r="J19" i="44" s="1"/>
  <c r="G19" i="44"/>
  <c r="H18" i="44"/>
  <c r="J18" i="44" s="1"/>
  <c r="G18" i="44"/>
  <c r="H17" i="44"/>
  <c r="J17" i="44" s="1"/>
  <c r="G17" i="44"/>
  <c r="H16" i="44"/>
  <c r="J16" i="44" s="1"/>
  <c r="G16" i="44"/>
  <c r="H15" i="44"/>
  <c r="J15" i="44" s="1"/>
  <c r="G15" i="44"/>
  <c r="H14" i="44"/>
  <c r="J14" i="44" s="1"/>
  <c r="G14" i="44"/>
  <c r="H13" i="44"/>
  <c r="J13" i="44" s="1"/>
  <c r="G13" i="44"/>
  <c r="J12" i="44"/>
  <c r="H12" i="44"/>
  <c r="G12" i="44"/>
  <c r="H11" i="44"/>
  <c r="J11" i="44" s="1"/>
  <c r="G11" i="44"/>
  <c r="H10" i="44"/>
  <c r="J10" i="44" s="1"/>
  <c r="G10" i="44"/>
  <c r="H9" i="44"/>
  <c r="J9" i="44" s="1"/>
  <c r="G9" i="44"/>
  <c r="H8" i="44"/>
  <c r="J8" i="44" s="1"/>
  <c r="G8" i="44"/>
  <c r="H7" i="44"/>
  <c r="J7" i="44" s="1"/>
  <c r="G7" i="44"/>
  <c r="H6" i="44"/>
  <c r="J6" i="44" s="1"/>
  <c r="G6" i="44"/>
  <c r="H5" i="44"/>
  <c r="J5" i="44" s="1"/>
  <c r="G5" i="44"/>
  <c r="H4" i="44"/>
  <c r="J4" i="44" s="1"/>
  <c r="G4" i="44"/>
  <c r="H3" i="44"/>
  <c r="J3" i="44" s="1"/>
  <c r="G3" i="44"/>
  <c r="H2" i="44"/>
  <c r="J2" i="44" s="1"/>
  <c r="G2" i="44"/>
  <c r="J159" i="43"/>
  <c r="H159" i="43"/>
  <c r="G159" i="43"/>
  <c r="J158" i="43"/>
  <c r="H158" i="43"/>
  <c r="G158" i="43"/>
  <c r="J157" i="43"/>
  <c r="H157" i="43"/>
  <c r="G157" i="43"/>
  <c r="J156" i="43"/>
  <c r="H156" i="43"/>
  <c r="G156" i="43"/>
  <c r="J155" i="43"/>
  <c r="H155" i="43"/>
  <c r="G155" i="43"/>
  <c r="J154" i="43"/>
  <c r="H154" i="43"/>
  <c r="G154" i="43"/>
  <c r="J153" i="43"/>
  <c r="H153" i="43"/>
  <c r="G153" i="43"/>
  <c r="J152" i="43"/>
  <c r="H152" i="43"/>
  <c r="G152" i="43"/>
  <c r="J151" i="43"/>
  <c r="H151" i="43"/>
  <c r="G151" i="43"/>
  <c r="J150" i="43"/>
  <c r="H150" i="43"/>
  <c r="G150" i="43"/>
  <c r="J149" i="43"/>
  <c r="H149" i="43"/>
  <c r="G149" i="43"/>
  <c r="J148" i="43"/>
  <c r="H148" i="43"/>
  <c r="G148" i="43"/>
  <c r="J147" i="43"/>
  <c r="H147" i="43"/>
  <c r="G147" i="43"/>
  <c r="J146" i="43"/>
  <c r="H146" i="43"/>
  <c r="G146" i="43"/>
  <c r="J145" i="43"/>
  <c r="H145" i="43"/>
  <c r="G145" i="43"/>
  <c r="J144" i="43"/>
  <c r="H144" i="43"/>
  <c r="G144" i="43"/>
  <c r="J143" i="43"/>
  <c r="H143" i="43"/>
  <c r="G143" i="43"/>
  <c r="J142" i="43"/>
  <c r="H142" i="43"/>
  <c r="G142" i="43"/>
  <c r="J141" i="43"/>
  <c r="H141" i="43"/>
  <c r="G141" i="43"/>
  <c r="J140" i="43"/>
  <c r="H140" i="43"/>
  <c r="G140" i="43"/>
  <c r="J139" i="43"/>
  <c r="H139" i="43"/>
  <c r="G139" i="43"/>
  <c r="J138" i="43"/>
  <c r="H138" i="43"/>
  <c r="G138" i="43"/>
  <c r="J137" i="43"/>
  <c r="H137" i="43"/>
  <c r="G137" i="43"/>
  <c r="J136" i="43"/>
  <c r="H136" i="43"/>
  <c r="G136" i="43"/>
  <c r="J135" i="43"/>
  <c r="H135" i="43"/>
  <c r="G135" i="43"/>
  <c r="J134" i="43"/>
  <c r="H134" i="43"/>
  <c r="G134" i="43"/>
  <c r="J133" i="43"/>
  <c r="H133" i="43"/>
  <c r="G133" i="43"/>
  <c r="J132" i="43"/>
  <c r="H132" i="43"/>
  <c r="G132" i="43"/>
  <c r="J131" i="43"/>
  <c r="H131" i="43"/>
  <c r="G131" i="43"/>
  <c r="J130" i="43"/>
  <c r="H130" i="43"/>
  <c r="G130" i="43"/>
  <c r="J129" i="43"/>
  <c r="H129" i="43"/>
  <c r="G129" i="43"/>
  <c r="J128" i="43"/>
  <c r="H128" i="43"/>
  <c r="G128" i="43"/>
  <c r="J127" i="43"/>
  <c r="H127" i="43"/>
  <c r="G127" i="43"/>
  <c r="J126" i="43"/>
  <c r="H126" i="43"/>
  <c r="G126" i="43"/>
  <c r="J125" i="43"/>
  <c r="H125" i="43"/>
  <c r="G125" i="43"/>
  <c r="J124" i="43"/>
  <c r="H124" i="43"/>
  <c r="G124" i="43"/>
  <c r="J123" i="43"/>
  <c r="H123" i="43"/>
  <c r="G123" i="43"/>
  <c r="J122" i="43"/>
  <c r="H122" i="43"/>
  <c r="G122" i="43"/>
  <c r="J121" i="43"/>
  <c r="H121" i="43"/>
  <c r="G121" i="43"/>
  <c r="J120" i="43"/>
  <c r="H120" i="43"/>
  <c r="G120" i="43"/>
  <c r="J119" i="43"/>
  <c r="H119" i="43"/>
  <c r="G119" i="43"/>
  <c r="J118" i="43"/>
  <c r="H118" i="43"/>
  <c r="G118" i="43"/>
  <c r="J117" i="43"/>
  <c r="H117" i="43"/>
  <c r="G117" i="43"/>
  <c r="J116" i="43"/>
  <c r="H116" i="43"/>
  <c r="G116" i="43"/>
  <c r="J115" i="43"/>
  <c r="H115" i="43"/>
  <c r="G115" i="43"/>
  <c r="J114" i="43"/>
  <c r="H114" i="43"/>
  <c r="G114" i="43"/>
  <c r="J113" i="43"/>
  <c r="H113" i="43"/>
  <c r="G113" i="43"/>
  <c r="J112" i="43"/>
  <c r="H112" i="43"/>
  <c r="G112" i="43"/>
  <c r="J111" i="43"/>
  <c r="H111" i="43"/>
  <c r="G111" i="43"/>
  <c r="J110" i="43"/>
  <c r="H110" i="43"/>
  <c r="G110" i="43"/>
  <c r="J109" i="43"/>
  <c r="H109" i="43"/>
  <c r="G109" i="43"/>
  <c r="J108" i="43"/>
  <c r="H108" i="43"/>
  <c r="G108" i="43"/>
  <c r="J107" i="43"/>
  <c r="H107" i="43"/>
  <c r="G107" i="43"/>
  <c r="J106" i="43"/>
  <c r="H106" i="43"/>
  <c r="G106" i="43"/>
  <c r="J105" i="43"/>
  <c r="H105" i="43"/>
  <c r="G105" i="43"/>
  <c r="J104" i="43"/>
  <c r="H104" i="43"/>
  <c r="G104" i="43"/>
  <c r="J103" i="43"/>
  <c r="H103" i="43"/>
  <c r="G103" i="43"/>
  <c r="J102" i="43"/>
  <c r="H102" i="43"/>
  <c r="G102" i="43"/>
  <c r="J101" i="43"/>
  <c r="H101" i="43"/>
  <c r="G101" i="43"/>
  <c r="J100" i="43"/>
  <c r="H100" i="43"/>
  <c r="G100" i="43"/>
  <c r="J99" i="43"/>
  <c r="H99" i="43"/>
  <c r="G99" i="43"/>
  <c r="J98" i="43"/>
  <c r="H98" i="43"/>
  <c r="G98" i="43"/>
  <c r="J97" i="43"/>
  <c r="H97" i="43"/>
  <c r="G97" i="43"/>
  <c r="J96" i="43"/>
  <c r="H96" i="43"/>
  <c r="G96" i="43"/>
  <c r="J95" i="43"/>
  <c r="H95" i="43"/>
  <c r="G95" i="43"/>
  <c r="J94" i="43"/>
  <c r="H94" i="43"/>
  <c r="G94" i="43"/>
  <c r="J93" i="43"/>
  <c r="H93" i="43"/>
  <c r="G93" i="43"/>
  <c r="J92" i="43"/>
  <c r="H92" i="43"/>
  <c r="G92" i="43"/>
  <c r="J91" i="43"/>
  <c r="H91" i="43"/>
  <c r="G91" i="43"/>
  <c r="J90" i="43"/>
  <c r="H90" i="43"/>
  <c r="G90" i="43"/>
  <c r="J89" i="43"/>
  <c r="H89" i="43"/>
  <c r="G89" i="43"/>
  <c r="J88" i="43"/>
  <c r="H88" i="43"/>
  <c r="G88" i="43"/>
  <c r="J87" i="43"/>
  <c r="H87" i="43"/>
  <c r="G87" i="43"/>
  <c r="J86" i="43"/>
  <c r="H86" i="43"/>
  <c r="G86" i="43"/>
  <c r="J85" i="43"/>
  <c r="H85" i="43"/>
  <c r="G85" i="43"/>
  <c r="J84" i="43"/>
  <c r="H84" i="43"/>
  <c r="G84" i="43"/>
  <c r="J83" i="43"/>
  <c r="H83" i="43"/>
  <c r="G83" i="43"/>
  <c r="J82" i="43"/>
  <c r="H82" i="43"/>
  <c r="G82" i="43"/>
  <c r="J81" i="43"/>
  <c r="H81" i="43"/>
  <c r="G81" i="43"/>
  <c r="J80" i="43"/>
  <c r="H80" i="43"/>
  <c r="G80" i="43"/>
  <c r="J79" i="43"/>
  <c r="H79" i="43"/>
  <c r="G79" i="43"/>
  <c r="J78" i="43"/>
  <c r="H78" i="43"/>
  <c r="G78" i="43"/>
  <c r="J77" i="43"/>
  <c r="H77" i="43"/>
  <c r="G77" i="43"/>
  <c r="J76" i="43"/>
  <c r="H76" i="43"/>
  <c r="G76" i="43"/>
  <c r="J75" i="43"/>
  <c r="H75" i="43"/>
  <c r="G75" i="43"/>
  <c r="J74" i="43"/>
  <c r="H74" i="43"/>
  <c r="G74" i="43"/>
  <c r="J73" i="43"/>
  <c r="H73" i="43"/>
  <c r="G73" i="43"/>
  <c r="J72" i="43"/>
  <c r="H72" i="43"/>
  <c r="G72" i="43"/>
  <c r="J71" i="43"/>
  <c r="H71" i="43"/>
  <c r="G71" i="43"/>
  <c r="J70" i="43"/>
  <c r="H70" i="43"/>
  <c r="G70" i="43"/>
  <c r="J69" i="43"/>
  <c r="H69" i="43"/>
  <c r="G69" i="43"/>
  <c r="J68" i="43"/>
  <c r="H68" i="43"/>
  <c r="G68" i="43"/>
  <c r="J67" i="43"/>
  <c r="H67" i="43"/>
  <c r="G67" i="43"/>
  <c r="J66" i="43"/>
  <c r="H66" i="43"/>
  <c r="G66" i="43"/>
  <c r="J65" i="43"/>
  <c r="H65" i="43"/>
  <c r="G65" i="43"/>
  <c r="J64" i="43"/>
  <c r="H64" i="43"/>
  <c r="G64" i="43"/>
  <c r="J63" i="43"/>
  <c r="H63" i="43"/>
  <c r="G63" i="43"/>
  <c r="J62" i="43"/>
  <c r="H62" i="43"/>
  <c r="G62" i="43"/>
  <c r="J61" i="43"/>
  <c r="H61" i="43"/>
  <c r="G61" i="43"/>
  <c r="J60" i="43"/>
  <c r="H60" i="43"/>
  <c r="G60" i="43"/>
  <c r="J59" i="43"/>
  <c r="H59" i="43"/>
  <c r="G59" i="43"/>
  <c r="J58" i="43"/>
  <c r="H58" i="43"/>
  <c r="G58" i="43"/>
  <c r="J57" i="43"/>
  <c r="H57" i="43"/>
  <c r="G57" i="43"/>
  <c r="J56" i="43"/>
  <c r="H56" i="43"/>
  <c r="G56" i="43"/>
  <c r="J55" i="43"/>
  <c r="H55" i="43"/>
  <c r="G55" i="43"/>
  <c r="J54" i="43"/>
  <c r="H54" i="43"/>
  <c r="G54" i="43"/>
  <c r="J53" i="43"/>
  <c r="H53" i="43"/>
  <c r="G53" i="43"/>
  <c r="J52" i="43"/>
  <c r="H52" i="43"/>
  <c r="G52" i="43"/>
  <c r="J51" i="43"/>
  <c r="H51" i="43"/>
  <c r="G51" i="43"/>
  <c r="J50" i="43"/>
  <c r="H50" i="43"/>
  <c r="G50" i="43"/>
  <c r="J49" i="43"/>
  <c r="H49" i="43"/>
  <c r="G49" i="43"/>
  <c r="J48" i="43"/>
  <c r="H48" i="43"/>
  <c r="G48" i="43"/>
  <c r="J47" i="43"/>
  <c r="H47" i="43"/>
  <c r="G47" i="43"/>
  <c r="J46" i="43"/>
  <c r="H46" i="43"/>
  <c r="G46" i="43"/>
  <c r="J45" i="43"/>
  <c r="H45" i="43"/>
  <c r="G45" i="43"/>
  <c r="J44" i="43"/>
  <c r="H44" i="43"/>
  <c r="G44" i="43"/>
  <c r="J43" i="43"/>
  <c r="H43" i="43"/>
  <c r="G43" i="43"/>
  <c r="J42" i="43"/>
  <c r="H42" i="43"/>
  <c r="G42" i="43"/>
  <c r="J41" i="43"/>
  <c r="H41" i="43"/>
  <c r="G41" i="43"/>
  <c r="J40" i="43"/>
  <c r="H40" i="43"/>
  <c r="G40" i="43"/>
  <c r="J39" i="43"/>
  <c r="H39" i="43"/>
  <c r="G39" i="43"/>
  <c r="J38" i="43"/>
  <c r="H38" i="43"/>
  <c r="G38" i="43"/>
  <c r="J37" i="43"/>
  <c r="H37" i="43"/>
  <c r="G37" i="43"/>
  <c r="J36" i="43"/>
  <c r="H36" i="43"/>
  <c r="G36" i="43"/>
  <c r="J35" i="43"/>
  <c r="H35" i="43"/>
  <c r="G35" i="43"/>
  <c r="J34" i="43"/>
  <c r="H34" i="43"/>
  <c r="G34" i="43"/>
  <c r="J33" i="43"/>
  <c r="H33" i="43"/>
  <c r="G33" i="43"/>
  <c r="J32" i="43"/>
  <c r="H32" i="43"/>
  <c r="G32" i="43"/>
  <c r="J31" i="43"/>
  <c r="H31" i="43"/>
  <c r="G31" i="43"/>
  <c r="J30" i="43"/>
  <c r="H30" i="43"/>
  <c r="G30" i="43"/>
  <c r="J29" i="43"/>
  <c r="H29" i="43"/>
  <c r="G29" i="43"/>
  <c r="J28" i="43"/>
  <c r="H28" i="43"/>
  <c r="G28" i="43"/>
  <c r="J27" i="43"/>
  <c r="H27" i="43"/>
  <c r="G27" i="43"/>
  <c r="J26" i="43"/>
  <c r="H26" i="43"/>
  <c r="G26" i="43"/>
  <c r="J25" i="43"/>
  <c r="H25" i="43"/>
  <c r="G25" i="43"/>
  <c r="J24" i="43"/>
  <c r="H24" i="43"/>
  <c r="G24" i="43"/>
  <c r="J23" i="43"/>
  <c r="H23" i="43"/>
  <c r="G23" i="43"/>
  <c r="J22" i="43"/>
  <c r="H22" i="43"/>
  <c r="G22" i="43"/>
  <c r="J21" i="43"/>
  <c r="H21" i="43"/>
  <c r="G21" i="43"/>
  <c r="J20" i="43"/>
  <c r="H20" i="43"/>
  <c r="G20" i="43"/>
  <c r="J19" i="43"/>
  <c r="H19" i="43"/>
  <c r="G19" i="43"/>
  <c r="J18" i="43"/>
  <c r="H18" i="43"/>
  <c r="G18" i="43"/>
  <c r="J17" i="43"/>
  <c r="H17" i="43"/>
  <c r="G17" i="43"/>
  <c r="J16" i="43"/>
  <c r="H16" i="43"/>
  <c r="G16" i="43"/>
  <c r="J15" i="43"/>
  <c r="H15" i="43"/>
  <c r="G15" i="43"/>
  <c r="J14" i="43"/>
  <c r="H14" i="43"/>
  <c r="G14" i="43"/>
  <c r="J13" i="43"/>
  <c r="H13" i="43"/>
  <c r="G13" i="43"/>
  <c r="J12" i="43"/>
  <c r="H12" i="43"/>
  <c r="G12" i="43"/>
  <c r="J11" i="43"/>
  <c r="H11" i="43"/>
  <c r="G11" i="43"/>
  <c r="J10" i="43"/>
  <c r="H10" i="43"/>
  <c r="G10" i="43"/>
  <c r="J9" i="43"/>
  <c r="H9" i="43"/>
  <c r="G9" i="43"/>
  <c r="J8" i="43"/>
  <c r="H8" i="43"/>
  <c r="G8" i="43"/>
  <c r="J7" i="43"/>
  <c r="H7" i="43"/>
  <c r="G7" i="43"/>
  <c r="J6" i="43"/>
  <c r="H6" i="43"/>
  <c r="G6" i="43"/>
  <c r="J5" i="43"/>
  <c r="H5" i="43"/>
  <c r="G5" i="43"/>
  <c r="J4" i="43"/>
  <c r="H4" i="43"/>
  <c r="G4" i="43"/>
  <c r="J3" i="43"/>
  <c r="H3" i="43"/>
  <c r="G3" i="43"/>
  <c r="J2" i="43"/>
  <c r="H2" i="43"/>
  <c r="G2" i="43"/>
  <c r="J39" i="42"/>
  <c r="H39" i="42"/>
  <c r="G39" i="42"/>
  <c r="J38" i="42"/>
  <c r="H38" i="42"/>
  <c r="G38" i="42"/>
  <c r="J37" i="42"/>
  <c r="H37" i="42"/>
  <c r="G37" i="42"/>
  <c r="J36" i="42"/>
  <c r="H36" i="42"/>
  <c r="G36" i="42"/>
  <c r="J35" i="42"/>
  <c r="H35" i="42"/>
  <c r="G35" i="42"/>
  <c r="J34" i="42"/>
  <c r="H34" i="42"/>
  <c r="G34" i="42"/>
  <c r="J33" i="42"/>
  <c r="H33" i="42"/>
  <c r="G33" i="42"/>
  <c r="J32" i="42"/>
  <c r="H32" i="42"/>
  <c r="G32" i="42"/>
  <c r="J31" i="42"/>
  <c r="H31" i="42"/>
  <c r="G31" i="42"/>
  <c r="J30" i="42"/>
  <c r="H30" i="42"/>
  <c r="G30" i="42"/>
  <c r="J29" i="42"/>
  <c r="H29" i="42"/>
  <c r="G29" i="42"/>
  <c r="J28" i="42"/>
  <c r="H28" i="42"/>
  <c r="G28" i="42"/>
  <c r="J27" i="42"/>
  <c r="H27" i="42"/>
  <c r="G27" i="42"/>
  <c r="J26" i="42"/>
  <c r="H26" i="42"/>
  <c r="G26" i="42"/>
  <c r="J25" i="42"/>
  <c r="H25" i="42"/>
  <c r="G25" i="42"/>
  <c r="J24" i="42"/>
  <c r="H24" i="42"/>
  <c r="G24" i="42"/>
  <c r="J23" i="42"/>
  <c r="H23" i="42"/>
  <c r="G23" i="42"/>
  <c r="J22" i="42"/>
  <c r="H22" i="42"/>
  <c r="G22" i="42"/>
  <c r="J21" i="42"/>
  <c r="H21" i="42"/>
  <c r="G21" i="42"/>
  <c r="J20" i="42"/>
  <c r="H20" i="42"/>
  <c r="G20" i="42"/>
  <c r="J19" i="42"/>
  <c r="H19" i="42"/>
  <c r="G19" i="42"/>
  <c r="J18" i="42"/>
  <c r="H18" i="42"/>
  <c r="G18" i="42"/>
  <c r="J17" i="42"/>
  <c r="H17" i="42"/>
  <c r="G17" i="42"/>
  <c r="J16" i="42"/>
  <c r="H16" i="42"/>
  <c r="G16" i="42"/>
  <c r="J15" i="42"/>
  <c r="H15" i="42"/>
  <c r="G15" i="42"/>
  <c r="J14" i="42"/>
  <c r="H14" i="42"/>
  <c r="G14" i="42"/>
  <c r="J13" i="42"/>
  <c r="H13" i="42"/>
  <c r="G13" i="42"/>
  <c r="J12" i="42"/>
  <c r="H12" i="42"/>
  <c r="G12" i="42"/>
  <c r="J11" i="42"/>
  <c r="H11" i="42"/>
  <c r="G11" i="42"/>
  <c r="J10" i="42"/>
  <c r="H10" i="42"/>
  <c r="G10" i="42"/>
  <c r="J9" i="42"/>
  <c r="H9" i="42"/>
  <c r="G9" i="42"/>
  <c r="J8" i="42"/>
  <c r="H8" i="42"/>
  <c r="G8" i="42"/>
  <c r="J7" i="42"/>
  <c r="H7" i="42"/>
  <c r="G7" i="42"/>
  <c r="J6" i="42"/>
  <c r="H6" i="42"/>
  <c r="G6" i="42"/>
  <c r="J5" i="42"/>
  <c r="H5" i="42"/>
  <c r="G5" i="42"/>
  <c r="J4" i="42"/>
  <c r="H4" i="42"/>
  <c r="G4" i="42"/>
  <c r="J3" i="42"/>
  <c r="H3" i="42"/>
  <c r="G3" i="42"/>
  <c r="J2" i="42"/>
  <c r="H2" i="42"/>
  <c r="G2" i="42"/>
  <c r="J16" i="40"/>
  <c r="H16" i="40"/>
  <c r="G16" i="40"/>
  <c r="J15" i="40"/>
  <c r="H15" i="40"/>
  <c r="G15" i="40"/>
  <c r="J14" i="40"/>
  <c r="H14" i="40"/>
  <c r="G14" i="40"/>
  <c r="J13" i="40"/>
  <c r="H13" i="40"/>
  <c r="G13" i="40"/>
  <c r="J12" i="40"/>
  <c r="H12" i="40"/>
  <c r="G12" i="40"/>
  <c r="J11" i="40"/>
  <c r="H11" i="40"/>
  <c r="G11" i="40"/>
  <c r="J10" i="40"/>
  <c r="H10" i="40"/>
  <c r="G10" i="40"/>
  <c r="J9" i="40"/>
  <c r="H9" i="40"/>
  <c r="G9" i="40"/>
  <c r="J8" i="40"/>
  <c r="H8" i="40"/>
  <c r="G8" i="40"/>
  <c r="J7" i="40"/>
  <c r="H7" i="40"/>
  <c r="G7" i="40"/>
  <c r="J6" i="40"/>
  <c r="H6" i="40"/>
  <c r="G6" i="40"/>
  <c r="J5" i="40"/>
  <c r="H5" i="40"/>
  <c r="G5" i="40"/>
  <c r="J4" i="40"/>
  <c r="H4" i="40"/>
  <c r="G4" i="40"/>
  <c r="J3" i="40"/>
  <c r="H3" i="40"/>
  <c r="G3" i="40"/>
  <c r="J2" i="40"/>
  <c r="H2" i="40"/>
  <c r="G2" i="40"/>
  <c r="J32" i="39"/>
  <c r="H32" i="39"/>
  <c r="G32" i="39"/>
  <c r="J31" i="39"/>
  <c r="H31" i="39"/>
  <c r="G31" i="39"/>
  <c r="J30" i="39"/>
  <c r="H30" i="39"/>
  <c r="G30" i="39"/>
  <c r="J29" i="39"/>
  <c r="H29" i="39"/>
  <c r="G29" i="39"/>
  <c r="J28" i="39"/>
  <c r="H28" i="39"/>
  <c r="G28" i="39"/>
  <c r="J27" i="39"/>
  <c r="H27" i="39"/>
  <c r="G27" i="39"/>
  <c r="J26" i="39"/>
  <c r="H26" i="39"/>
  <c r="G26" i="39"/>
  <c r="J25" i="39"/>
  <c r="H25" i="39"/>
  <c r="G25" i="39"/>
  <c r="J24" i="39"/>
  <c r="H24" i="39"/>
  <c r="G24" i="39"/>
  <c r="J23" i="39"/>
  <c r="H23" i="39"/>
  <c r="G23" i="39"/>
  <c r="J22" i="39"/>
  <c r="H22" i="39"/>
  <c r="G22" i="39"/>
  <c r="J21" i="39"/>
  <c r="H21" i="39"/>
  <c r="G21" i="39"/>
  <c r="J20" i="39"/>
  <c r="H20" i="39"/>
  <c r="G20" i="39"/>
  <c r="J19" i="39"/>
  <c r="H19" i="39"/>
  <c r="G19" i="39"/>
  <c r="J18" i="39"/>
  <c r="H18" i="39"/>
  <c r="G18" i="39"/>
  <c r="J17" i="39"/>
  <c r="H17" i="39"/>
  <c r="G17" i="39"/>
  <c r="J16" i="39"/>
  <c r="H16" i="39"/>
  <c r="G16" i="39"/>
  <c r="J15" i="39"/>
  <c r="H15" i="39"/>
  <c r="G15" i="39"/>
  <c r="J14" i="39"/>
  <c r="H14" i="39"/>
  <c r="G14" i="39"/>
  <c r="J13" i="39"/>
  <c r="H13" i="39"/>
  <c r="G13" i="39"/>
  <c r="J12" i="39"/>
  <c r="H12" i="39"/>
  <c r="G12" i="39"/>
  <c r="J11" i="39"/>
  <c r="H11" i="39"/>
  <c r="G11" i="39"/>
  <c r="J10" i="39"/>
  <c r="H10" i="39"/>
  <c r="G10" i="39"/>
  <c r="J9" i="39"/>
  <c r="H9" i="39"/>
  <c r="G9" i="39"/>
  <c r="J8" i="39"/>
  <c r="H8" i="39"/>
  <c r="G8" i="39"/>
  <c r="J7" i="39"/>
  <c r="H7" i="39"/>
  <c r="G7" i="39"/>
  <c r="J6" i="39"/>
  <c r="H6" i="39"/>
  <c r="G6" i="39"/>
  <c r="J5" i="39"/>
  <c r="H5" i="39"/>
  <c r="G5" i="39"/>
  <c r="J4" i="39"/>
  <c r="H4" i="39"/>
  <c r="G4" i="39"/>
  <c r="J3" i="39"/>
  <c r="H3" i="39"/>
  <c r="G3" i="39"/>
  <c r="J2" i="39"/>
  <c r="H2" i="39"/>
  <c r="G2" i="39"/>
  <c r="H34" i="38"/>
  <c r="J34" i="38" s="1"/>
  <c r="G34" i="38"/>
  <c r="H33" i="38"/>
  <c r="J33" i="38" s="1"/>
  <c r="G33" i="38"/>
  <c r="J32" i="38"/>
  <c r="H32" i="38"/>
  <c r="G32" i="38"/>
  <c r="H31" i="38"/>
  <c r="J31" i="38" s="1"/>
  <c r="G31" i="38"/>
  <c r="H30" i="38"/>
  <c r="J30" i="38" s="1"/>
  <c r="G30" i="38"/>
  <c r="H29" i="38"/>
  <c r="J29" i="38" s="1"/>
  <c r="G29" i="38"/>
  <c r="H28" i="38"/>
  <c r="J28" i="38" s="1"/>
  <c r="G28" i="38"/>
  <c r="H27" i="38"/>
  <c r="J27" i="38" s="1"/>
  <c r="G27" i="38"/>
  <c r="H26" i="38"/>
  <c r="J26" i="38" s="1"/>
  <c r="G26" i="38"/>
  <c r="H25" i="38"/>
  <c r="J25" i="38" s="1"/>
  <c r="G25" i="38"/>
  <c r="J24" i="38"/>
  <c r="H24" i="38"/>
  <c r="G24" i="38"/>
  <c r="H23" i="38"/>
  <c r="J23" i="38" s="1"/>
  <c r="G23" i="38"/>
  <c r="J22" i="38"/>
  <c r="H22" i="38"/>
  <c r="G22" i="38"/>
  <c r="H21" i="38"/>
  <c r="J21" i="38" s="1"/>
  <c r="G21" i="38"/>
  <c r="H20" i="38"/>
  <c r="J20" i="38" s="1"/>
  <c r="G20" i="38"/>
  <c r="H19" i="38"/>
  <c r="J19" i="38" s="1"/>
  <c r="G19" i="38"/>
  <c r="H18" i="38"/>
  <c r="J18" i="38" s="1"/>
  <c r="G18" i="38"/>
  <c r="H17" i="38"/>
  <c r="J17" i="38" s="1"/>
  <c r="G17" i="38"/>
  <c r="J16" i="38"/>
  <c r="H16" i="38"/>
  <c r="G16" i="38"/>
  <c r="H15" i="38"/>
  <c r="J15" i="38" s="1"/>
  <c r="G15" i="38"/>
  <c r="J14" i="38"/>
  <c r="H14" i="38"/>
  <c r="G14" i="38"/>
  <c r="H13" i="38"/>
  <c r="J13" i="38" s="1"/>
  <c r="G13" i="38"/>
  <c r="H12" i="38"/>
  <c r="J12" i="38" s="1"/>
  <c r="G12" i="38"/>
  <c r="H11" i="38"/>
  <c r="J11" i="38" s="1"/>
  <c r="G11" i="38"/>
  <c r="H10" i="38"/>
  <c r="J10" i="38" s="1"/>
  <c r="G10" i="38"/>
  <c r="H9" i="38"/>
  <c r="J9" i="38" s="1"/>
  <c r="G9" i="38"/>
  <c r="J8" i="38"/>
  <c r="H8" i="38"/>
  <c r="G8" i="38"/>
  <c r="H7" i="38"/>
  <c r="J7" i="38" s="1"/>
  <c r="G7" i="38"/>
  <c r="J6" i="38"/>
  <c r="H6" i="38"/>
  <c r="G6" i="38"/>
  <c r="H5" i="38"/>
  <c r="J5" i="38" s="1"/>
  <c r="G5" i="38"/>
  <c r="H4" i="38"/>
  <c r="J4" i="38" s="1"/>
  <c r="G4" i="38"/>
  <c r="H3" i="38"/>
  <c r="J3" i="38" s="1"/>
  <c r="G3" i="38"/>
  <c r="H2" i="38"/>
  <c r="J2" i="38" s="1"/>
  <c r="G2" i="38"/>
  <c r="J5" i="37"/>
  <c r="H5" i="37"/>
  <c r="G5" i="37"/>
  <c r="J4" i="37"/>
  <c r="H4" i="37"/>
  <c r="G4" i="37"/>
  <c r="J3" i="37"/>
  <c r="H3" i="37"/>
  <c r="G3" i="37"/>
  <c r="J2" i="37"/>
  <c r="H2" i="37"/>
  <c r="G2" i="37"/>
  <c r="J262" i="22"/>
  <c r="H262" i="22"/>
  <c r="G262" i="22"/>
  <c r="J261" i="22"/>
  <c r="H261" i="22"/>
  <c r="G261" i="22"/>
  <c r="J260" i="22"/>
  <c r="H260" i="22"/>
  <c r="G260" i="22"/>
  <c r="J259" i="22"/>
  <c r="H259" i="22"/>
  <c r="G259" i="22"/>
  <c r="J258" i="22"/>
  <c r="H258" i="22"/>
  <c r="G258" i="22"/>
  <c r="J257" i="22"/>
  <c r="H257" i="22"/>
  <c r="G257" i="22"/>
  <c r="J256" i="22"/>
  <c r="H256" i="22"/>
  <c r="G256" i="22"/>
  <c r="J255" i="22"/>
  <c r="H255" i="22"/>
  <c r="G255" i="22"/>
  <c r="J254" i="22"/>
  <c r="H254" i="22"/>
  <c r="G254" i="22"/>
  <c r="J253" i="22"/>
  <c r="H253" i="22"/>
  <c r="G253" i="22"/>
  <c r="J252" i="22"/>
  <c r="H252" i="22"/>
  <c r="G252" i="22"/>
  <c r="J251" i="22"/>
  <c r="H251" i="22"/>
  <c r="G251" i="22"/>
  <c r="J250" i="22"/>
  <c r="H250" i="22"/>
  <c r="G250" i="22"/>
  <c r="J249" i="22"/>
  <c r="H249" i="22"/>
  <c r="G249" i="22"/>
  <c r="J248" i="22"/>
  <c r="H248" i="22"/>
  <c r="G248" i="22"/>
  <c r="J247" i="22"/>
  <c r="H247" i="22"/>
  <c r="G247" i="22"/>
  <c r="J246" i="22"/>
  <c r="H246" i="22"/>
  <c r="G246" i="22"/>
  <c r="J245" i="22"/>
  <c r="H245" i="22"/>
  <c r="G245" i="22"/>
  <c r="J244" i="22"/>
  <c r="H244" i="22"/>
  <c r="G244" i="22"/>
  <c r="J243" i="22"/>
  <c r="H243" i="22"/>
  <c r="G243" i="22"/>
  <c r="J242" i="22"/>
  <c r="H242" i="22"/>
  <c r="G242" i="22"/>
  <c r="J241" i="22"/>
  <c r="H241" i="22"/>
  <c r="G241" i="22"/>
  <c r="J240" i="22"/>
  <c r="H240" i="22"/>
  <c r="G240" i="22"/>
  <c r="J239" i="22"/>
  <c r="H239" i="22"/>
  <c r="G239" i="22"/>
  <c r="J238" i="22"/>
  <c r="H238" i="22"/>
  <c r="G238" i="22"/>
  <c r="J237" i="22"/>
  <c r="H237" i="22"/>
  <c r="G237" i="22"/>
  <c r="J236" i="22"/>
  <c r="H236" i="22"/>
  <c r="G236" i="22"/>
  <c r="J235" i="22"/>
  <c r="H235" i="22"/>
  <c r="G235" i="22"/>
  <c r="J234" i="22"/>
  <c r="H234" i="22"/>
  <c r="G234" i="22"/>
  <c r="J233" i="22"/>
  <c r="H233" i="22"/>
  <c r="G233" i="22"/>
  <c r="J232" i="22"/>
  <c r="H232" i="22"/>
  <c r="G232" i="22"/>
  <c r="J231" i="22"/>
  <c r="H231" i="22"/>
  <c r="G231" i="22"/>
  <c r="J230" i="22"/>
  <c r="H230" i="22"/>
  <c r="G230" i="22"/>
  <c r="J229" i="22"/>
  <c r="H229" i="22"/>
  <c r="G229" i="22"/>
  <c r="J228" i="22"/>
  <c r="H228" i="22"/>
  <c r="G228" i="22"/>
  <c r="J227" i="22"/>
  <c r="H227" i="22"/>
  <c r="G227" i="22"/>
  <c r="J226" i="22"/>
  <c r="H226" i="22"/>
  <c r="G226" i="22"/>
  <c r="J225" i="22"/>
  <c r="H225" i="22"/>
  <c r="G225" i="22"/>
  <c r="J224" i="22"/>
  <c r="H224" i="22"/>
  <c r="G224" i="22"/>
  <c r="J223" i="22"/>
  <c r="H223" i="22"/>
  <c r="G223" i="22"/>
  <c r="J222" i="22"/>
  <c r="H222" i="22"/>
  <c r="G222" i="22"/>
  <c r="J221" i="22"/>
  <c r="H221" i="22"/>
  <c r="G221" i="22"/>
  <c r="J220" i="22"/>
  <c r="H220" i="22"/>
  <c r="G220" i="22"/>
  <c r="J219" i="22"/>
  <c r="H219" i="22"/>
  <c r="G219" i="22"/>
  <c r="J218" i="22"/>
  <c r="H218" i="22"/>
  <c r="G218" i="22"/>
  <c r="J217" i="22"/>
  <c r="H217" i="22"/>
  <c r="G217" i="22"/>
  <c r="J216" i="22"/>
  <c r="H216" i="22"/>
  <c r="G216" i="22"/>
  <c r="J215" i="22"/>
  <c r="H215" i="22"/>
  <c r="G215" i="22"/>
  <c r="J214" i="22"/>
  <c r="H214" i="22"/>
  <c r="G214" i="22"/>
  <c r="J213" i="22"/>
  <c r="H213" i="22"/>
  <c r="G213" i="22"/>
  <c r="J212" i="22"/>
  <c r="H212" i="22"/>
  <c r="G212" i="22"/>
  <c r="J211" i="22"/>
  <c r="H211" i="22"/>
  <c r="G211" i="22"/>
  <c r="J210" i="22"/>
  <c r="H210" i="22"/>
  <c r="G210" i="22"/>
  <c r="J209" i="22"/>
  <c r="H209" i="22"/>
  <c r="G209" i="22"/>
  <c r="J208" i="22"/>
  <c r="H208" i="22"/>
  <c r="G208" i="22"/>
  <c r="J207" i="22"/>
  <c r="H207" i="22"/>
  <c r="G207" i="22"/>
  <c r="J206" i="22"/>
  <c r="H206" i="22"/>
  <c r="G206" i="22"/>
  <c r="J205" i="22"/>
  <c r="H205" i="22"/>
  <c r="G205" i="22"/>
  <c r="J204" i="22"/>
  <c r="H204" i="22"/>
  <c r="G204" i="22"/>
  <c r="J203" i="22"/>
  <c r="H203" i="22"/>
  <c r="G203" i="22"/>
  <c r="J202" i="22"/>
  <c r="H202" i="22"/>
  <c r="G202" i="22"/>
  <c r="J201" i="22"/>
  <c r="H201" i="22"/>
  <c r="G201" i="22"/>
  <c r="J200" i="22"/>
  <c r="H200" i="22"/>
  <c r="G200" i="22"/>
  <c r="J199" i="22"/>
  <c r="H199" i="22"/>
  <c r="G199" i="22"/>
  <c r="J198" i="22"/>
  <c r="H198" i="22"/>
  <c r="G198" i="22"/>
  <c r="J197" i="22"/>
  <c r="H197" i="22"/>
  <c r="G197" i="22"/>
  <c r="J196" i="22"/>
  <c r="H196" i="22"/>
  <c r="G196" i="22"/>
  <c r="J195" i="22"/>
  <c r="H195" i="22"/>
  <c r="G195" i="22"/>
  <c r="J194" i="22"/>
  <c r="H194" i="22"/>
  <c r="G194" i="22"/>
  <c r="J193" i="22"/>
  <c r="H193" i="22"/>
  <c r="G193" i="22"/>
  <c r="J192" i="22"/>
  <c r="H192" i="22"/>
  <c r="G192" i="22"/>
  <c r="J191" i="22"/>
  <c r="H191" i="22"/>
  <c r="G191" i="22"/>
  <c r="J190" i="22"/>
  <c r="H190" i="22"/>
  <c r="G190" i="22"/>
  <c r="J189" i="22"/>
  <c r="H189" i="22"/>
  <c r="G189" i="22"/>
  <c r="J188" i="22"/>
  <c r="H188" i="22"/>
  <c r="G188" i="22"/>
  <c r="J187" i="22"/>
  <c r="H187" i="22"/>
  <c r="G187" i="22"/>
  <c r="J186" i="22"/>
  <c r="H186" i="22"/>
  <c r="G186" i="22"/>
  <c r="J185" i="22"/>
  <c r="H185" i="22"/>
  <c r="G185" i="22"/>
  <c r="J184" i="22"/>
  <c r="H184" i="22"/>
  <c r="G184" i="22"/>
  <c r="J183" i="22"/>
  <c r="H183" i="22"/>
  <c r="G183" i="22"/>
  <c r="J182" i="22"/>
  <c r="H182" i="22"/>
  <c r="G182" i="22"/>
  <c r="J181" i="22"/>
  <c r="H181" i="22"/>
  <c r="G181" i="22"/>
  <c r="J180" i="22"/>
  <c r="H180" i="22"/>
  <c r="G180" i="22"/>
  <c r="J179" i="22"/>
  <c r="H179" i="22"/>
  <c r="G179" i="22"/>
  <c r="J178" i="22"/>
  <c r="H178" i="22"/>
  <c r="G178" i="22"/>
  <c r="J177" i="22"/>
  <c r="H177" i="22"/>
  <c r="G177" i="22"/>
  <c r="J176" i="22"/>
  <c r="H176" i="22"/>
  <c r="G176" i="22"/>
  <c r="J175" i="22"/>
  <c r="H175" i="22"/>
  <c r="G175" i="22"/>
  <c r="J174" i="22"/>
  <c r="H174" i="22"/>
  <c r="G174" i="22"/>
  <c r="J173" i="22"/>
  <c r="H173" i="22"/>
  <c r="G173" i="22"/>
  <c r="J172" i="22"/>
  <c r="H172" i="22"/>
  <c r="G172" i="22"/>
  <c r="J171" i="22"/>
  <c r="H171" i="22"/>
  <c r="G171" i="22"/>
  <c r="J170" i="22"/>
  <c r="H170" i="22"/>
  <c r="G170" i="22"/>
  <c r="J169" i="22"/>
  <c r="H169" i="22"/>
  <c r="G169" i="22"/>
  <c r="J168" i="22"/>
  <c r="H168" i="22"/>
  <c r="G168" i="22"/>
  <c r="J167" i="22"/>
  <c r="H167" i="22"/>
  <c r="G167" i="22"/>
  <c r="J166" i="22"/>
  <c r="H166" i="22"/>
  <c r="G166" i="22"/>
  <c r="J165" i="22"/>
  <c r="H165" i="22"/>
  <c r="G165" i="22"/>
  <c r="J164" i="22"/>
  <c r="H164" i="22"/>
  <c r="G164" i="22"/>
  <c r="J163" i="22"/>
  <c r="H163" i="22"/>
  <c r="G163" i="22"/>
  <c r="J162" i="22"/>
  <c r="H162" i="22"/>
  <c r="G162" i="22"/>
  <c r="J161" i="22"/>
  <c r="H161" i="22"/>
  <c r="G161" i="22"/>
  <c r="J160" i="22"/>
  <c r="H160" i="22"/>
  <c r="G160" i="22"/>
  <c r="J159" i="22"/>
  <c r="H159" i="22"/>
  <c r="G159" i="22"/>
  <c r="J158" i="22"/>
  <c r="H158" i="22"/>
  <c r="G158" i="22"/>
  <c r="J157" i="22"/>
  <c r="H157" i="22"/>
  <c r="G157" i="22"/>
  <c r="J156" i="22"/>
  <c r="H156" i="22"/>
  <c r="G156" i="22"/>
  <c r="J155" i="22"/>
  <c r="H155" i="22"/>
  <c r="G155" i="22"/>
  <c r="J154" i="22"/>
  <c r="H154" i="22"/>
  <c r="G154" i="22"/>
  <c r="J153" i="22"/>
  <c r="H153" i="22"/>
  <c r="G153" i="22"/>
  <c r="J152" i="22"/>
  <c r="H152" i="22"/>
  <c r="G152" i="22"/>
  <c r="J151" i="22"/>
  <c r="H151" i="22"/>
  <c r="G151" i="22"/>
  <c r="J150" i="22"/>
  <c r="H150" i="22"/>
  <c r="G150" i="22"/>
  <c r="J149" i="22"/>
  <c r="H149" i="22"/>
  <c r="G149" i="22"/>
  <c r="J148" i="22"/>
  <c r="H148" i="22"/>
  <c r="G148" i="22"/>
  <c r="J147" i="22"/>
  <c r="H147" i="22"/>
  <c r="G147" i="22"/>
  <c r="J146" i="22"/>
  <c r="H146" i="22"/>
  <c r="G146" i="22"/>
  <c r="J145" i="22"/>
  <c r="H145" i="22"/>
  <c r="G145" i="22"/>
  <c r="J144" i="22"/>
  <c r="H144" i="22"/>
  <c r="G144" i="22"/>
  <c r="J143" i="22"/>
  <c r="H143" i="22"/>
  <c r="G143" i="22"/>
  <c r="J142" i="22"/>
  <c r="H142" i="22"/>
  <c r="G142" i="22"/>
  <c r="J141" i="22"/>
  <c r="H141" i="22"/>
  <c r="G141" i="22"/>
  <c r="J140" i="22"/>
  <c r="H140" i="22"/>
  <c r="G140" i="22"/>
  <c r="J139" i="22"/>
  <c r="H139" i="22"/>
  <c r="G139" i="22"/>
  <c r="J138" i="22"/>
  <c r="H138" i="22"/>
  <c r="G138" i="22"/>
  <c r="J137" i="22"/>
  <c r="H137" i="22"/>
  <c r="G137" i="22"/>
  <c r="J136" i="22"/>
  <c r="H136" i="22"/>
  <c r="G136" i="22"/>
  <c r="J135" i="22"/>
  <c r="H135" i="22"/>
  <c r="G135" i="22"/>
  <c r="J134" i="22"/>
  <c r="H134" i="22"/>
  <c r="G134" i="22"/>
  <c r="J133" i="22"/>
  <c r="H133" i="22"/>
  <c r="G133" i="22"/>
  <c r="J132" i="22"/>
  <c r="H132" i="22"/>
  <c r="G132" i="22"/>
  <c r="J131" i="22"/>
  <c r="H131" i="22"/>
  <c r="G131" i="22"/>
  <c r="J130" i="22"/>
  <c r="H130" i="22"/>
  <c r="G130" i="22"/>
  <c r="J129" i="22"/>
  <c r="H129" i="22"/>
  <c r="G129" i="22"/>
  <c r="J128" i="22"/>
  <c r="H128" i="22"/>
  <c r="G128" i="22"/>
  <c r="J127" i="22"/>
  <c r="H127" i="22"/>
  <c r="G127" i="22"/>
  <c r="J126" i="22"/>
  <c r="H126" i="22"/>
  <c r="G126" i="22"/>
  <c r="J125" i="22"/>
  <c r="H125" i="22"/>
  <c r="G125" i="22"/>
  <c r="J124" i="22"/>
  <c r="H124" i="22"/>
  <c r="G124" i="22"/>
  <c r="J123" i="22"/>
  <c r="H123" i="22"/>
  <c r="G123" i="22"/>
  <c r="J122" i="22"/>
  <c r="H122" i="22"/>
  <c r="G122" i="22"/>
  <c r="J121" i="22"/>
  <c r="H121" i="22"/>
  <c r="G121" i="22"/>
  <c r="J120" i="22"/>
  <c r="H120" i="22"/>
  <c r="G120" i="22"/>
  <c r="J119" i="22"/>
  <c r="H119" i="22"/>
  <c r="G119" i="22"/>
  <c r="J118" i="22"/>
  <c r="H118" i="22"/>
  <c r="G118" i="22"/>
  <c r="J117" i="22"/>
  <c r="H117" i="22"/>
  <c r="G117" i="22"/>
  <c r="J116" i="22"/>
  <c r="H116" i="22"/>
  <c r="G116" i="22"/>
  <c r="J115" i="22"/>
  <c r="H115" i="22"/>
  <c r="G115" i="22"/>
  <c r="J114" i="22"/>
  <c r="H114" i="22"/>
  <c r="G114" i="22"/>
  <c r="J113" i="22"/>
  <c r="H113" i="22"/>
  <c r="G113" i="22"/>
  <c r="J112" i="22"/>
  <c r="H112" i="22"/>
  <c r="G112" i="22"/>
  <c r="J111" i="22"/>
  <c r="H111" i="22"/>
  <c r="G111" i="22"/>
  <c r="J110" i="22"/>
  <c r="H110" i="22"/>
  <c r="G110" i="22"/>
  <c r="J109" i="22"/>
  <c r="H109" i="22"/>
  <c r="G109" i="22"/>
  <c r="J108" i="22"/>
  <c r="H108" i="22"/>
  <c r="G108" i="22"/>
  <c r="J107" i="22"/>
  <c r="H107" i="22"/>
  <c r="G107" i="22"/>
  <c r="J106" i="22"/>
  <c r="H106" i="22"/>
  <c r="G106" i="22"/>
  <c r="J105" i="22"/>
  <c r="H105" i="22"/>
  <c r="G105" i="22"/>
  <c r="J104" i="22"/>
  <c r="H104" i="22"/>
  <c r="G104" i="22"/>
  <c r="J103" i="22"/>
  <c r="H103" i="22"/>
  <c r="G103" i="22"/>
  <c r="J102" i="22"/>
  <c r="H102" i="22"/>
  <c r="G102" i="22"/>
  <c r="J101" i="22"/>
  <c r="H101" i="22"/>
  <c r="G101" i="22"/>
  <c r="J100" i="22"/>
  <c r="H100" i="22"/>
  <c r="G100" i="22"/>
  <c r="J99" i="22"/>
  <c r="H99" i="22"/>
  <c r="G99" i="22"/>
  <c r="J98" i="22"/>
  <c r="H98" i="22"/>
  <c r="G98" i="22"/>
  <c r="J97" i="22"/>
  <c r="H97" i="22"/>
  <c r="G97" i="22"/>
  <c r="J96" i="22"/>
  <c r="H96" i="22"/>
  <c r="G96" i="22"/>
  <c r="J95" i="22"/>
  <c r="H95" i="22"/>
  <c r="G95" i="22"/>
  <c r="J94" i="22"/>
  <c r="H94" i="22"/>
  <c r="G94" i="22"/>
  <c r="J93" i="22"/>
  <c r="H93" i="22"/>
  <c r="G93" i="22"/>
  <c r="J92" i="22"/>
  <c r="H92" i="22"/>
  <c r="G92" i="22"/>
  <c r="J91" i="22"/>
  <c r="H91" i="22"/>
  <c r="G91" i="22"/>
  <c r="J90" i="22"/>
  <c r="H90" i="22"/>
  <c r="G90" i="22"/>
  <c r="J89" i="22"/>
  <c r="H89" i="22"/>
  <c r="G89" i="22"/>
  <c r="J88" i="22"/>
  <c r="H88" i="22"/>
  <c r="G88" i="22"/>
  <c r="J87" i="22"/>
  <c r="H87" i="22"/>
  <c r="G87" i="22"/>
  <c r="J86" i="22"/>
  <c r="H86" i="22"/>
  <c r="G86" i="22"/>
  <c r="J85" i="22"/>
  <c r="H85" i="22"/>
  <c r="G85" i="22"/>
  <c r="J84" i="22"/>
  <c r="H84" i="22"/>
  <c r="G84" i="22"/>
  <c r="J83" i="22"/>
  <c r="H83" i="22"/>
  <c r="G83" i="22"/>
  <c r="J82" i="22"/>
  <c r="H82" i="22"/>
  <c r="G82" i="22"/>
  <c r="J81" i="22"/>
  <c r="H81" i="22"/>
  <c r="G81" i="22"/>
  <c r="J80" i="22"/>
  <c r="H80" i="22"/>
  <c r="G80" i="22"/>
  <c r="J79" i="22"/>
  <c r="H79" i="22"/>
  <c r="G79" i="22"/>
  <c r="J78" i="22"/>
  <c r="H78" i="22"/>
  <c r="G78" i="22"/>
  <c r="J77" i="22"/>
  <c r="H77" i="22"/>
  <c r="G77" i="22"/>
  <c r="J76" i="22"/>
  <c r="H76" i="22"/>
  <c r="G76" i="22"/>
  <c r="J75" i="22"/>
  <c r="H75" i="22"/>
  <c r="G75" i="22"/>
  <c r="J74" i="22"/>
  <c r="H74" i="22"/>
  <c r="G74" i="22"/>
  <c r="J73" i="22"/>
  <c r="H73" i="22"/>
  <c r="G73" i="22"/>
  <c r="J72" i="22"/>
  <c r="H72" i="22"/>
  <c r="G72" i="22"/>
  <c r="J71" i="22"/>
  <c r="H71" i="22"/>
  <c r="G71" i="22"/>
  <c r="J70" i="22"/>
  <c r="H70" i="22"/>
  <c r="G70" i="22"/>
  <c r="J69" i="22"/>
  <c r="H69" i="22"/>
  <c r="G69" i="22"/>
  <c r="J68" i="22"/>
  <c r="H68" i="22"/>
  <c r="G68" i="22"/>
  <c r="J67" i="22"/>
  <c r="H67" i="22"/>
  <c r="G67" i="22"/>
  <c r="J66" i="22"/>
  <c r="H66" i="22"/>
  <c r="G66" i="22"/>
  <c r="J65" i="22"/>
  <c r="H65" i="22"/>
  <c r="G65" i="22"/>
  <c r="J64" i="22"/>
  <c r="H64" i="22"/>
  <c r="G64" i="22"/>
  <c r="J63" i="22"/>
  <c r="H63" i="22"/>
  <c r="G63" i="22"/>
  <c r="J62" i="22"/>
  <c r="H62" i="22"/>
  <c r="G62" i="22"/>
  <c r="J61" i="22"/>
  <c r="H61" i="22"/>
  <c r="G61" i="22"/>
  <c r="J60" i="22"/>
  <c r="H60" i="22"/>
  <c r="G60" i="22"/>
  <c r="J59" i="22"/>
  <c r="H59" i="22"/>
  <c r="G59" i="22"/>
  <c r="J58" i="22"/>
  <c r="H58" i="22"/>
  <c r="G58" i="22"/>
  <c r="J57" i="22"/>
  <c r="H57" i="22"/>
  <c r="G57" i="22"/>
  <c r="J56" i="22"/>
  <c r="H56" i="22"/>
  <c r="G56" i="22"/>
  <c r="J55" i="22"/>
  <c r="H55" i="22"/>
  <c r="G55" i="22"/>
  <c r="J54" i="22"/>
  <c r="H54" i="22"/>
  <c r="G54" i="22"/>
  <c r="J53" i="22"/>
  <c r="H53" i="22"/>
  <c r="G53" i="22"/>
  <c r="J52" i="22"/>
  <c r="H52" i="22"/>
  <c r="G52" i="22"/>
  <c r="J51" i="22"/>
  <c r="H51" i="22"/>
  <c r="G51" i="22"/>
  <c r="J50" i="22"/>
  <c r="H50" i="22"/>
  <c r="G50" i="22"/>
  <c r="J49" i="22"/>
  <c r="H49" i="22"/>
  <c r="G49" i="22"/>
  <c r="J48" i="22"/>
  <c r="H48" i="22"/>
  <c r="G48" i="22"/>
  <c r="J47" i="22"/>
  <c r="H47" i="22"/>
  <c r="G47" i="22"/>
  <c r="J46" i="22"/>
  <c r="H46" i="22"/>
  <c r="G46" i="22"/>
  <c r="J45" i="22"/>
  <c r="H45" i="22"/>
  <c r="G45" i="22"/>
  <c r="J44" i="22"/>
  <c r="H44" i="22"/>
  <c r="G44" i="22"/>
  <c r="J43" i="22"/>
  <c r="H43" i="22"/>
  <c r="G43" i="22"/>
  <c r="J42" i="22"/>
  <c r="H42" i="22"/>
  <c r="G42" i="22"/>
  <c r="J41" i="22"/>
  <c r="H41" i="22"/>
  <c r="G41" i="22"/>
  <c r="J40" i="22"/>
  <c r="H40" i="22"/>
  <c r="G40" i="22"/>
  <c r="J39" i="22"/>
  <c r="H39" i="22"/>
  <c r="G39" i="22"/>
  <c r="J38" i="22"/>
  <c r="H38" i="22"/>
  <c r="G38" i="22"/>
  <c r="J37" i="22"/>
  <c r="H37" i="22"/>
  <c r="G37" i="22"/>
  <c r="J36" i="22"/>
  <c r="H36" i="22"/>
  <c r="G36" i="22"/>
  <c r="J35" i="22"/>
  <c r="H35" i="22"/>
  <c r="G35" i="22"/>
  <c r="J34" i="22"/>
  <c r="H34" i="22"/>
  <c r="G34" i="22"/>
  <c r="J33" i="22"/>
  <c r="H33" i="22"/>
  <c r="G33" i="22"/>
  <c r="J32" i="22"/>
  <c r="H32" i="22"/>
  <c r="G32" i="22"/>
  <c r="J31" i="22"/>
  <c r="H31" i="22"/>
  <c r="G31" i="22"/>
  <c r="J30" i="22"/>
  <c r="H30" i="22"/>
  <c r="G30" i="22"/>
  <c r="J29" i="22"/>
  <c r="H29" i="22"/>
  <c r="G29" i="22"/>
  <c r="J28" i="22"/>
  <c r="H28" i="22"/>
  <c r="G28" i="22"/>
  <c r="J27" i="22"/>
  <c r="H27" i="22"/>
  <c r="G27" i="22"/>
  <c r="J26" i="22"/>
  <c r="H26" i="22"/>
  <c r="G26" i="22"/>
  <c r="J25" i="22"/>
  <c r="H25" i="22"/>
  <c r="G25" i="22"/>
  <c r="J24" i="22"/>
  <c r="H24" i="22"/>
  <c r="G24" i="22"/>
  <c r="J23" i="22"/>
  <c r="H23" i="22"/>
  <c r="G23" i="22"/>
  <c r="J22" i="22"/>
  <c r="H22" i="22"/>
  <c r="G22" i="22"/>
  <c r="J21" i="22"/>
  <c r="H21" i="22"/>
  <c r="G21" i="22"/>
  <c r="J20" i="22"/>
  <c r="H20" i="22"/>
  <c r="G20" i="22"/>
  <c r="J19" i="22"/>
  <c r="H19" i="22"/>
  <c r="G19" i="22"/>
  <c r="J18" i="22"/>
  <c r="H18" i="22"/>
  <c r="G18" i="22"/>
  <c r="J17" i="22"/>
  <c r="H17" i="22"/>
  <c r="G17" i="22"/>
  <c r="J16" i="22"/>
  <c r="H16" i="22"/>
  <c r="G16" i="22"/>
  <c r="J15" i="22"/>
  <c r="H15" i="22"/>
  <c r="G15" i="22"/>
  <c r="J14" i="22"/>
  <c r="H14" i="22"/>
  <c r="G14" i="22"/>
  <c r="J13" i="22"/>
  <c r="H13" i="22"/>
  <c r="G13" i="22"/>
  <c r="J12" i="22"/>
  <c r="H12" i="22"/>
  <c r="G12" i="22"/>
  <c r="J11" i="22"/>
  <c r="H11" i="22"/>
  <c r="G11" i="22"/>
  <c r="J10" i="22"/>
  <c r="H10" i="22"/>
  <c r="G10" i="22"/>
  <c r="J9" i="22"/>
  <c r="H9" i="22"/>
  <c r="G9" i="22"/>
  <c r="J8" i="22"/>
  <c r="H8" i="22"/>
  <c r="G8" i="22"/>
  <c r="J7" i="22"/>
  <c r="H7" i="22"/>
  <c r="G7" i="22"/>
  <c r="J6" i="22"/>
  <c r="H6" i="22"/>
  <c r="G6" i="22"/>
  <c r="J5" i="22"/>
  <c r="H5" i="22"/>
  <c r="G5" i="22"/>
  <c r="J4" i="22"/>
  <c r="H4" i="22"/>
  <c r="G4" i="22"/>
  <c r="J3" i="22"/>
  <c r="H3" i="22"/>
  <c r="G3" i="22"/>
  <c r="J2" i="22"/>
  <c r="H2" i="22"/>
  <c r="G2" i="22"/>
  <c r="J149" i="35"/>
  <c r="H149" i="35"/>
  <c r="G149" i="35"/>
  <c r="J148" i="35"/>
  <c r="H148" i="35"/>
  <c r="G148" i="35"/>
  <c r="J147" i="35"/>
  <c r="H147" i="35"/>
  <c r="G147" i="35"/>
  <c r="J146" i="35"/>
  <c r="H146" i="35"/>
  <c r="G146" i="35"/>
  <c r="J145" i="35"/>
  <c r="H145" i="35"/>
  <c r="G145" i="35"/>
  <c r="J144" i="35"/>
  <c r="H144" i="35"/>
  <c r="G144" i="35"/>
  <c r="J143" i="35"/>
  <c r="H143" i="35"/>
  <c r="G143" i="35"/>
  <c r="J142" i="35"/>
  <c r="H142" i="35"/>
  <c r="G142" i="35"/>
  <c r="J141" i="35"/>
  <c r="H141" i="35"/>
  <c r="G141" i="35"/>
  <c r="J140" i="35"/>
  <c r="H140" i="35"/>
  <c r="G140" i="35"/>
  <c r="J139" i="35"/>
  <c r="H139" i="35"/>
  <c r="G139" i="35"/>
  <c r="J138" i="35"/>
  <c r="H138" i="35"/>
  <c r="G138" i="35"/>
  <c r="J137" i="35"/>
  <c r="H137" i="35"/>
  <c r="G137" i="35"/>
  <c r="J136" i="35"/>
  <c r="H136" i="35"/>
  <c r="G136" i="35"/>
  <c r="J135" i="35"/>
  <c r="H135" i="35"/>
  <c r="G135" i="35"/>
  <c r="J134" i="35"/>
  <c r="H134" i="35"/>
  <c r="G134" i="35"/>
  <c r="J133" i="35"/>
  <c r="H133" i="35"/>
  <c r="G133" i="35"/>
  <c r="J132" i="35"/>
  <c r="H132" i="35"/>
  <c r="G132" i="35"/>
  <c r="J131" i="35"/>
  <c r="H131" i="35"/>
  <c r="G131" i="35"/>
  <c r="J130" i="35"/>
  <c r="H130" i="35"/>
  <c r="G130" i="35"/>
  <c r="J129" i="35"/>
  <c r="H129" i="35"/>
  <c r="G129" i="35"/>
  <c r="J128" i="35"/>
  <c r="H128" i="35"/>
  <c r="G128" i="35"/>
  <c r="J127" i="35"/>
  <c r="H127" i="35"/>
  <c r="G127" i="35"/>
  <c r="J126" i="35"/>
  <c r="H126" i="35"/>
  <c r="G126" i="35"/>
  <c r="J125" i="35"/>
  <c r="H125" i="35"/>
  <c r="G125" i="35"/>
  <c r="J124" i="35"/>
  <c r="H124" i="35"/>
  <c r="G124" i="35"/>
  <c r="J123" i="35"/>
  <c r="H123" i="35"/>
  <c r="G123" i="35"/>
  <c r="J122" i="35"/>
  <c r="H122" i="35"/>
  <c r="G122" i="35"/>
  <c r="J121" i="35"/>
  <c r="H121" i="35"/>
  <c r="G121" i="35"/>
  <c r="J120" i="35"/>
  <c r="H120" i="35"/>
  <c r="G120" i="35"/>
  <c r="J119" i="35"/>
  <c r="H119" i="35"/>
  <c r="G119" i="35"/>
  <c r="J118" i="35"/>
  <c r="H118" i="35"/>
  <c r="G118" i="35"/>
  <c r="J117" i="35"/>
  <c r="H117" i="35"/>
  <c r="G117" i="35"/>
  <c r="J116" i="35"/>
  <c r="H116" i="35"/>
  <c r="G116" i="35"/>
  <c r="J115" i="35"/>
  <c r="H115" i="35"/>
  <c r="G115" i="35"/>
  <c r="J114" i="35"/>
  <c r="H114" i="35"/>
  <c r="G114" i="35"/>
  <c r="J113" i="35"/>
  <c r="H113" i="35"/>
  <c r="G113" i="35"/>
  <c r="J112" i="35"/>
  <c r="H112" i="35"/>
  <c r="G112" i="35"/>
  <c r="J111" i="35"/>
  <c r="H111" i="35"/>
  <c r="G111" i="35"/>
  <c r="J110" i="35"/>
  <c r="H110" i="35"/>
  <c r="G110" i="35"/>
  <c r="J109" i="35"/>
  <c r="H109" i="35"/>
  <c r="G109" i="35"/>
  <c r="J108" i="35"/>
  <c r="H108" i="35"/>
  <c r="G108" i="35"/>
  <c r="J107" i="35"/>
  <c r="H107" i="35"/>
  <c r="G107" i="35"/>
  <c r="J106" i="35"/>
  <c r="H106" i="35"/>
  <c r="G106" i="35"/>
  <c r="J105" i="35"/>
  <c r="H105" i="35"/>
  <c r="G105" i="35"/>
  <c r="J104" i="35"/>
  <c r="H104" i="35"/>
  <c r="G104" i="35"/>
  <c r="J103" i="35"/>
  <c r="H103" i="35"/>
  <c r="G103" i="35"/>
  <c r="J102" i="35"/>
  <c r="H102" i="35"/>
  <c r="G102" i="35"/>
  <c r="J101" i="35"/>
  <c r="H101" i="35"/>
  <c r="G101" i="35"/>
  <c r="J100" i="35"/>
  <c r="H100" i="35"/>
  <c r="G100" i="35"/>
  <c r="J99" i="35"/>
  <c r="H99" i="35"/>
  <c r="G99" i="35"/>
  <c r="J98" i="35"/>
  <c r="H98" i="35"/>
  <c r="G98" i="35"/>
  <c r="J97" i="35"/>
  <c r="H97" i="35"/>
  <c r="G97" i="35"/>
  <c r="J96" i="35"/>
  <c r="H96" i="35"/>
  <c r="G96" i="35"/>
  <c r="J95" i="35"/>
  <c r="H95" i="35"/>
  <c r="G95" i="35"/>
  <c r="J94" i="35"/>
  <c r="H94" i="35"/>
  <c r="G94" i="35"/>
  <c r="J93" i="35"/>
  <c r="H93" i="35"/>
  <c r="G93" i="35"/>
  <c r="J92" i="35"/>
  <c r="H92" i="35"/>
  <c r="G92" i="35"/>
  <c r="J91" i="35"/>
  <c r="H91" i="35"/>
  <c r="G91" i="35"/>
  <c r="J90" i="35"/>
  <c r="H90" i="35"/>
  <c r="G90" i="35"/>
  <c r="J89" i="35"/>
  <c r="H89" i="35"/>
  <c r="G89" i="35"/>
  <c r="J88" i="35"/>
  <c r="H88" i="35"/>
  <c r="G88" i="35"/>
  <c r="J87" i="35"/>
  <c r="H87" i="35"/>
  <c r="G87" i="35"/>
  <c r="J86" i="35"/>
  <c r="H86" i="35"/>
  <c r="G86" i="35"/>
  <c r="J85" i="35"/>
  <c r="H85" i="35"/>
  <c r="G85" i="35"/>
  <c r="J84" i="35"/>
  <c r="H84" i="35"/>
  <c r="G84" i="35"/>
  <c r="J83" i="35"/>
  <c r="H83" i="35"/>
  <c r="G83" i="35"/>
  <c r="J82" i="35"/>
  <c r="H82" i="35"/>
  <c r="G82" i="35"/>
  <c r="J81" i="35"/>
  <c r="H81" i="35"/>
  <c r="G81" i="35"/>
  <c r="J80" i="35"/>
  <c r="H80" i="35"/>
  <c r="G80" i="35"/>
  <c r="J79" i="35"/>
  <c r="H79" i="35"/>
  <c r="G79" i="35"/>
  <c r="J78" i="35"/>
  <c r="H78" i="35"/>
  <c r="G78" i="35"/>
  <c r="J77" i="35"/>
  <c r="H77" i="35"/>
  <c r="G77" i="35"/>
  <c r="J76" i="35"/>
  <c r="H76" i="35"/>
  <c r="G76" i="35"/>
  <c r="J75" i="35"/>
  <c r="H75" i="35"/>
  <c r="G75" i="35"/>
  <c r="J74" i="35"/>
  <c r="H74" i="35"/>
  <c r="G74" i="35"/>
  <c r="J73" i="35"/>
  <c r="H73" i="35"/>
  <c r="G73" i="35"/>
  <c r="J72" i="35"/>
  <c r="H72" i="35"/>
  <c r="G72" i="35"/>
  <c r="J71" i="35"/>
  <c r="H71" i="35"/>
  <c r="G71" i="35"/>
  <c r="J70" i="35"/>
  <c r="H70" i="35"/>
  <c r="G70" i="35"/>
  <c r="J69" i="35"/>
  <c r="H69" i="35"/>
  <c r="G69" i="35"/>
  <c r="J68" i="35"/>
  <c r="H68" i="35"/>
  <c r="G68" i="35"/>
  <c r="J67" i="35"/>
  <c r="H67" i="35"/>
  <c r="G67" i="35"/>
  <c r="J66" i="35"/>
  <c r="H66" i="35"/>
  <c r="G66" i="35"/>
  <c r="J65" i="35"/>
  <c r="H65" i="35"/>
  <c r="G65" i="35"/>
  <c r="J64" i="35"/>
  <c r="H64" i="35"/>
  <c r="G64" i="35"/>
  <c r="J63" i="35"/>
  <c r="H63" i="35"/>
  <c r="G63" i="35"/>
  <c r="J62" i="35"/>
  <c r="H62" i="35"/>
  <c r="G62" i="35"/>
  <c r="J61" i="35"/>
  <c r="H61" i="35"/>
  <c r="G61" i="35"/>
  <c r="J60" i="35"/>
  <c r="H60" i="35"/>
  <c r="G60" i="35"/>
  <c r="J59" i="35"/>
  <c r="H59" i="35"/>
  <c r="G59" i="35"/>
  <c r="J58" i="35"/>
  <c r="H58" i="35"/>
  <c r="G58" i="35"/>
  <c r="J57" i="35"/>
  <c r="H57" i="35"/>
  <c r="G57" i="35"/>
  <c r="J56" i="35"/>
  <c r="H56" i="35"/>
  <c r="G56" i="35"/>
  <c r="J55" i="35"/>
  <c r="H55" i="35"/>
  <c r="G55" i="35"/>
  <c r="J54" i="35"/>
  <c r="H54" i="35"/>
  <c r="G54" i="35"/>
  <c r="J53" i="35"/>
  <c r="H53" i="35"/>
  <c r="G53" i="35"/>
  <c r="J52" i="35"/>
  <c r="H52" i="35"/>
  <c r="G52" i="35"/>
  <c r="J51" i="35"/>
  <c r="H51" i="35"/>
  <c r="G51" i="35"/>
  <c r="J50" i="35"/>
  <c r="H50" i="35"/>
  <c r="G50" i="35"/>
  <c r="J49" i="35"/>
  <c r="H49" i="35"/>
  <c r="G49" i="35"/>
  <c r="J48" i="35"/>
  <c r="H48" i="35"/>
  <c r="G48" i="35"/>
  <c r="J47" i="35"/>
  <c r="H47" i="35"/>
  <c r="G47" i="35"/>
  <c r="J46" i="35"/>
  <c r="H46" i="35"/>
  <c r="G46" i="35"/>
  <c r="J45" i="35"/>
  <c r="H45" i="35"/>
  <c r="G45" i="35"/>
  <c r="J44" i="35"/>
  <c r="H44" i="35"/>
  <c r="G44" i="35"/>
  <c r="J43" i="35"/>
  <c r="H43" i="35"/>
  <c r="G43" i="35"/>
  <c r="J42" i="35"/>
  <c r="H42" i="35"/>
  <c r="G42" i="35"/>
  <c r="J41" i="35"/>
  <c r="H41" i="35"/>
  <c r="G41" i="35"/>
  <c r="J40" i="35"/>
  <c r="H40" i="35"/>
  <c r="G40" i="35"/>
  <c r="J39" i="35"/>
  <c r="H39" i="35"/>
  <c r="G39" i="35"/>
  <c r="J38" i="35"/>
  <c r="H38" i="35"/>
  <c r="G38" i="35"/>
  <c r="J37" i="35"/>
  <c r="H37" i="35"/>
  <c r="G37" i="35"/>
  <c r="J36" i="35"/>
  <c r="H36" i="35"/>
  <c r="G36" i="35"/>
  <c r="J35" i="35"/>
  <c r="H35" i="35"/>
  <c r="G35" i="35"/>
  <c r="J34" i="35"/>
  <c r="H34" i="35"/>
  <c r="G34" i="35"/>
  <c r="J33" i="35"/>
  <c r="H33" i="35"/>
  <c r="G33" i="35"/>
  <c r="J32" i="35"/>
  <c r="H32" i="35"/>
  <c r="G32" i="35"/>
  <c r="J31" i="35"/>
  <c r="H31" i="35"/>
  <c r="G31" i="35"/>
  <c r="J30" i="35"/>
  <c r="H30" i="35"/>
  <c r="G30" i="35"/>
  <c r="J29" i="35"/>
  <c r="H29" i="35"/>
  <c r="G29" i="35"/>
  <c r="J28" i="35"/>
  <c r="H28" i="35"/>
  <c r="G28" i="35"/>
  <c r="J27" i="35"/>
  <c r="H27" i="35"/>
  <c r="G27" i="35"/>
  <c r="J26" i="35"/>
  <c r="H26" i="35"/>
  <c r="G26" i="35"/>
  <c r="J25" i="35"/>
  <c r="H25" i="35"/>
  <c r="G25" i="35"/>
  <c r="J24" i="35"/>
  <c r="H24" i="35"/>
  <c r="G24" i="35"/>
  <c r="J23" i="35"/>
  <c r="H23" i="35"/>
  <c r="G23" i="35"/>
  <c r="J22" i="35"/>
  <c r="H22" i="35"/>
  <c r="G22" i="35"/>
  <c r="J21" i="35"/>
  <c r="H21" i="35"/>
  <c r="G21" i="35"/>
  <c r="J20" i="35"/>
  <c r="H20" i="35"/>
  <c r="G20" i="35"/>
  <c r="J19" i="35"/>
  <c r="H19" i="35"/>
  <c r="G19" i="35"/>
  <c r="J18" i="35"/>
  <c r="H18" i="35"/>
  <c r="G18" i="35"/>
  <c r="J17" i="35"/>
  <c r="H17" i="35"/>
  <c r="G17" i="35"/>
  <c r="J16" i="35"/>
  <c r="H16" i="35"/>
  <c r="G16" i="35"/>
  <c r="J15" i="35"/>
  <c r="H15" i="35"/>
  <c r="G15" i="35"/>
  <c r="J14" i="35"/>
  <c r="H14" i="35"/>
  <c r="G14" i="35"/>
  <c r="J13" i="35"/>
  <c r="H13" i="35"/>
  <c r="G13" i="35"/>
  <c r="J12" i="35"/>
  <c r="H12" i="35"/>
  <c r="G12" i="35"/>
  <c r="J11" i="35"/>
  <c r="H11" i="35"/>
  <c r="G11" i="35"/>
  <c r="J10" i="35"/>
  <c r="H10" i="35"/>
  <c r="G10" i="35"/>
  <c r="J9" i="35"/>
  <c r="H9" i="35"/>
  <c r="G9" i="35"/>
  <c r="J8" i="35"/>
  <c r="H8" i="35"/>
  <c r="G8" i="35"/>
  <c r="J7" i="35"/>
  <c r="H7" i="35"/>
  <c r="G7" i="35"/>
  <c r="J6" i="35"/>
  <c r="H6" i="35"/>
  <c r="G6" i="35"/>
  <c r="J5" i="35"/>
  <c r="H5" i="35"/>
  <c r="G5" i="35"/>
  <c r="J4" i="35"/>
  <c r="H4" i="35"/>
  <c r="G4" i="35"/>
  <c r="J3" i="35"/>
  <c r="H3" i="35"/>
  <c r="G3" i="35"/>
  <c r="J2" i="35"/>
  <c r="H2" i="35"/>
  <c r="G2" i="35"/>
  <c r="Y3" i="22" l="1"/>
  <c r="Z3" i="22"/>
  <c r="Y4" i="22"/>
  <c r="Z4" i="22"/>
  <c r="Y5" i="22"/>
  <c r="Z5" i="22"/>
  <c r="Y6" i="22"/>
  <c r="Z6" i="22"/>
  <c r="Y7" i="22"/>
  <c r="Z7" i="22"/>
  <c r="Y8" i="22"/>
  <c r="Z8" i="22"/>
  <c r="Y9" i="22"/>
  <c r="Z9" i="22"/>
  <c r="Y10" i="22"/>
  <c r="Z10" i="22"/>
  <c r="Y11" i="22"/>
  <c r="Z11" i="22"/>
  <c r="Y12" i="22"/>
  <c r="Z12" i="22"/>
  <c r="Y13" i="22"/>
  <c r="Z13" i="22"/>
  <c r="Y14" i="22"/>
  <c r="Z14" i="22"/>
  <c r="Y15" i="22"/>
  <c r="Z15" i="22"/>
  <c r="Y16" i="22"/>
  <c r="Z16" i="22"/>
  <c r="Y17" i="22"/>
  <c r="Z17" i="22"/>
  <c r="Y18" i="22"/>
  <c r="Z18" i="22"/>
  <c r="Y19" i="22"/>
  <c r="Z19" i="22"/>
  <c r="Y20" i="22"/>
  <c r="Z20" i="22"/>
  <c r="Y21" i="22"/>
  <c r="Z21" i="22"/>
  <c r="Y22" i="22"/>
  <c r="Z22" i="22"/>
  <c r="Y23" i="22"/>
  <c r="Z23" i="22"/>
  <c r="Y24" i="22"/>
  <c r="Z24" i="22"/>
  <c r="Y25" i="22"/>
  <c r="Z25" i="22"/>
  <c r="Y26" i="22"/>
  <c r="Z26" i="22"/>
  <c r="Y27" i="22"/>
  <c r="Z27" i="22"/>
  <c r="Y28" i="22"/>
  <c r="Z28" i="22"/>
  <c r="Y29" i="22"/>
  <c r="Z29" i="22"/>
  <c r="Y30" i="22"/>
  <c r="Z30" i="22"/>
  <c r="Y31" i="22"/>
  <c r="Z31" i="22"/>
  <c r="Y32" i="22"/>
  <c r="Z32" i="22"/>
  <c r="Y33" i="22"/>
  <c r="Z33" i="22"/>
  <c r="Y34" i="22"/>
  <c r="Z34" i="22"/>
  <c r="Y35" i="22"/>
  <c r="Z35" i="22"/>
  <c r="Y36" i="22"/>
  <c r="Z36" i="22"/>
  <c r="Y37" i="22"/>
  <c r="Z37" i="22"/>
  <c r="Y38" i="22"/>
  <c r="Z38" i="22"/>
  <c r="Y39" i="22"/>
  <c r="Z39" i="22"/>
  <c r="Y40" i="22"/>
  <c r="Z40" i="22"/>
  <c r="Y41" i="22"/>
  <c r="Z41" i="22"/>
  <c r="Y42" i="22"/>
  <c r="Z42" i="22"/>
  <c r="Y43" i="22"/>
  <c r="Z43" i="22"/>
  <c r="Y44" i="22"/>
  <c r="Z44" i="22"/>
  <c r="Y45" i="22"/>
  <c r="Z45" i="22"/>
  <c r="Y46" i="22"/>
  <c r="Z46" i="22"/>
  <c r="Y47" i="22"/>
  <c r="Z47" i="22"/>
  <c r="Y48" i="22"/>
  <c r="Z48" i="22"/>
  <c r="Y49" i="22"/>
  <c r="Z49" i="22"/>
  <c r="Y50" i="22"/>
  <c r="Z50" i="22"/>
  <c r="Y51" i="22"/>
  <c r="Z51" i="22"/>
  <c r="Y52" i="22"/>
  <c r="Z52" i="22"/>
  <c r="Y53" i="22"/>
  <c r="Z53" i="22"/>
  <c r="Y54" i="22"/>
  <c r="Z54" i="22"/>
  <c r="Y55" i="22"/>
  <c r="Z55" i="22"/>
  <c r="Y56" i="22"/>
  <c r="Z56" i="22"/>
  <c r="Y57" i="22"/>
  <c r="Z57" i="22"/>
  <c r="Y58" i="22"/>
  <c r="Z58" i="22"/>
  <c r="Y59" i="22"/>
  <c r="Z59" i="22"/>
  <c r="Y60" i="22"/>
  <c r="Z60" i="22"/>
  <c r="Y61" i="22"/>
  <c r="Z61" i="22"/>
  <c r="Y62" i="22"/>
  <c r="Z62" i="22"/>
  <c r="Y63" i="22"/>
  <c r="Z63" i="22"/>
  <c r="Y64" i="22"/>
  <c r="Z64" i="22"/>
  <c r="Y65" i="22"/>
  <c r="Z65" i="22"/>
  <c r="Y66" i="22"/>
  <c r="Z66" i="22"/>
  <c r="Y67" i="22"/>
  <c r="Z67" i="22"/>
  <c r="Y68" i="22"/>
  <c r="Z68" i="22"/>
  <c r="Y69" i="22"/>
  <c r="Z69" i="22"/>
  <c r="Y70" i="22"/>
  <c r="Z70" i="22"/>
  <c r="Y71" i="22"/>
  <c r="Z71" i="22"/>
  <c r="Y72" i="22"/>
  <c r="Z72" i="22"/>
  <c r="Y73" i="22"/>
  <c r="Z73" i="22"/>
  <c r="Y74" i="22"/>
  <c r="Z74" i="22"/>
  <c r="Y75" i="22"/>
  <c r="Z75" i="22"/>
  <c r="Y76" i="22"/>
  <c r="Z76" i="22"/>
  <c r="Y77" i="22"/>
  <c r="Z77" i="22"/>
  <c r="Y78" i="22"/>
  <c r="Z78" i="22"/>
  <c r="Y79" i="22"/>
  <c r="Z79" i="22"/>
  <c r="Y80" i="22"/>
  <c r="Z80" i="22"/>
  <c r="Y81" i="22"/>
  <c r="Z81" i="22"/>
  <c r="Y82" i="22"/>
  <c r="Z82" i="22"/>
  <c r="Y83" i="22"/>
  <c r="Z83" i="22"/>
  <c r="Y84" i="22"/>
  <c r="Z84" i="22"/>
  <c r="Y85" i="22"/>
  <c r="Z85" i="22"/>
  <c r="Y86" i="22"/>
  <c r="Z86" i="22"/>
  <c r="Y87" i="22"/>
  <c r="Z87" i="22"/>
  <c r="Y88" i="22"/>
  <c r="Z88" i="22"/>
  <c r="Y89" i="22"/>
  <c r="Z89" i="22"/>
  <c r="Y90" i="22"/>
  <c r="Z90" i="22"/>
  <c r="Y91" i="22"/>
  <c r="Z91" i="22"/>
  <c r="Y92" i="22"/>
  <c r="Z92" i="22"/>
  <c r="Y93" i="22"/>
  <c r="Z93" i="22"/>
  <c r="Y94" i="22"/>
  <c r="Z94" i="22"/>
  <c r="Y95" i="22"/>
  <c r="Z95" i="22"/>
  <c r="Y96" i="22"/>
  <c r="Z96" i="22"/>
  <c r="Y97" i="22"/>
  <c r="Z97" i="22"/>
  <c r="Y98" i="22"/>
  <c r="Z98" i="22"/>
  <c r="Y99" i="22"/>
  <c r="Z99" i="22"/>
  <c r="Y100" i="22"/>
  <c r="Z100" i="22"/>
  <c r="Y101" i="22"/>
  <c r="Z101" i="22"/>
  <c r="Y102" i="22"/>
  <c r="Z102" i="22"/>
  <c r="Y103" i="22"/>
  <c r="Z103" i="22"/>
  <c r="Y104" i="22"/>
  <c r="Z104" i="22"/>
  <c r="Y105" i="22"/>
  <c r="Z105" i="22"/>
  <c r="Y106" i="22"/>
  <c r="Z106" i="22"/>
  <c r="Y107" i="22"/>
  <c r="Z107" i="22"/>
  <c r="Y108" i="22"/>
  <c r="Z108" i="22"/>
  <c r="Y109" i="22"/>
  <c r="Z109" i="22"/>
  <c r="Y110" i="22"/>
  <c r="Z110" i="22"/>
  <c r="Y111" i="22"/>
  <c r="Z111" i="22"/>
  <c r="Y112" i="22"/>
  <c r="Z112" i="22"/>
  <c r="Y113" i="22"/>
  <c r="Z113" i="22"/>
  <c r="Y114" i="22"/>
  <c r="Z114" i="22"/>
  <c r="Y115" i="22"/>
  <c r="Z115" i="22"/>
  <c r="Y116" i="22"/>
  <c r="Z116" i="22"/>
  <c r="Y117" i="22"/>
  <c r="Z117" i="22"/>
  <c r="Y118" i="22"/>
  <c r="Z118" i="22"/>
  <c r="Y119" i="22"/>
  <c r="Z119" i="22"/>
  <c r="Y120" i="22"/>
  <c r="Z120" i="22"/>
  <c r="Y121" i="22"/>
  <c r="Z121" i="22"/>
  <c r="Y122" i="22"/>
  <c r="Z122" i="22"/>
  <c r="Y123" i="22"/>
  <c r="Z123" i="22"/>
  <c r="Y124" i="22"/>
  <c r="Z124" i="22"/>
  <c r="Y125" i="22"/>
  <c r="Z125" i="22"/>
  <c r="Y126" i="22"/>
  <c r="Z126" i="22"/>
  <c r="Y127" i="22"/>
  <c r="Z127" i="22"/>
  <c r="Y128" i="22"/>
  <c r="Z128" i="22"/>
  <c r="Y129" i="22"/>
  <c r="Z129" i="22"/>
  <c r="Y130" i="22"/>
  <c r="Z130" i="22"/>
  <c r="Y131" i="22"/>
  <c r="Z131" i="22"/>
  <c r="Y132" i="22"/>
  <c r="Z132" i="22"/>
  <c r="Y133" i="22"/>
  <c r="Z133" i="22"/>
  <c r="Y134" i="22"/>
  <c r="Z134" i="22"/>
  <c r="Y135" i="22"/>
  <c r="Z135" i="22"/>
  <c r="Y136" i="22"/>
  <c r="Z136" i="22"/>
  <c r="Y137" i="22"/>
  <c r="Z137" i="22"/>
  <c r="Y138" i="22"/>
  <c r="Z138" i="22"/>
  <c r="Y139" i="22"/>
  <c r="Z139" i="22"/>
  <c r="Y140" i="22"/>
  <c r="Z140" i="22"/>
  <c r="Y141" i="22"/>
  <c r="Z141" i="22"/>
  <c r="Y142" i="22"/>
  <c r="Z142" i="22"/>
  <c r="Y143" i="22"/>
  <c r="Z143" i="22"/>
  <c r="Y144" i="22"/>
  <c r="Z144" i="22"/>
  <c r="Y145" i="22"/>
  <c r="Z145" i="22"/>
  <c r="Y146" i="22"/>
  <c r="Z146" i="22"/>
  <c r="Y147" i="22"/>
  <c r="Z147" i="22"/>
  <c r="Y148" i="22"/>
  <c r="Z148" i="22"/>
  <c r="Y149" i="22"/>
  <c r="Z149" i="22"/>
  <c r="Y150" i="22"/>
  <c r="Z150" i="22"/>
  <c r="Y151" i="22"/>
  <c r="Z151" i="22"/>
  <c r="Y152" i="22"/>
  <c r="Z152" i="22"/>
  <c r="Y153" i="22"/>
  <c r="Z153" i="22"/>
  <c r="Y154" i="22"/>
  <c r="Z154" i="22"/>
  <c r="Y155" i="22"/>
  <c r="Z155" i="22"/>
  <c r="Y156" i="22"/>
  <c r="Z156" i="22"/>
  <c r="Y157" i="22"/>
  <c r="Z157" i="22"/>
  <c r="Y158" i="22"/>
  <c r="Z158" i="22"/>
  <c r="Y159" i="22"/>
  <c r="Z159" i="22"/>
  <c r="Y160" i="22"/>
  <c r="Z160" i="22"/>
  <c r="Y161" i="22"/>
  <c r="Z161" i="22"/>
  <c r="Y162" i="22"/>
  <c r="Z162" i="22"/>
  <c r="Y163" i="22"/>
  <c r="Z163" i="22"/>
  <c r="Y164" i="22"/>
  <c r="Z164" i="22"/>
  <c r="Y165" i="22"/>
  <c r="Z165" i="22"/>
  <c r="Y166" i="22"/>
  <c r="Z166" i="22"/>
  <c r="Y167" i="22"/>
  <c r="Z167" i="22"/>
  <c r="Y168" i="22"/>
  <c r="Z168" i="22"/>
  <c r="Y169" i="22"/>
  <c r="Z169" i="22"/>
  <c r="Y170" i="22"/>
  <c r="Z170" i="22"/>
  <c r="Y171" i="22"/>
  <c r="Z171" i="22"/>
  <c r="Y172" i="22"/>
  <c r="Z172" i="22"/>
  <c r="Y173" i="22"/>
  <c r="Z173" i="22"/>
  <c r="Y174" i="22"/>
  <c r="Z174" i="22"/>
  <c r="Y175" i="22"/>
  <c r="Z175" i="22"/>
  <c r="Y176" i="22"/>
  <c r="Z176" i="22"/>
  <c r="Y177" i="22"/>
  <c r="Z177" i="22"/>
  <c r="Y178" i="22"/>
  <c r="Z178" i="22"/>
  <c r="Y179" i="22"/>
  <c r="Z179" i="22"/>
  <c r="Y180" i="22"/>
  <c r="Z180" i="22"/>
  <c r="Y181" i="22"/>
  <c r="Z181" i="22"/>
  <c r="Y182" i="22"/>
  <c r="Z182" i="22"/>
  <c r="Y183" i="22"/>
  <c r="Z183" i="22"/>
  <c r="Y184" i="22"/>
  <c r="Z184" i="22"/>
  <c r="Y185" i="22"/>
  <c r="Z185" i="22"/>
  <c r="Y186" i="22"/>
  <c r="Z186" i="22"/>
  <c r="Y187" i="22"/>
  <c r="Z187" i="22"/>
  <c r="Y188" i="22"/>
  <c r="Z188" i="22"/>
  <c r="Y189" i="22"/>
  <c r="Z189" i="22"/>
  <c r="Y190" i="22"/>
  <c r="Z190" i="22"/>
  <c r="Y191" i="22"/>
  <c r="Z191" i="22"/>
  <c r="Y192" i="22"/>
  <c r="Z192" i="22"/>
  <c r="Y193" i="22"/>
  <c r="Z193" i="22"/>
  <c r="Y194" i="22"/>
  <c r="Z194" i="22"/>
  <c r="Y195" i="22"/>
  <c r="Z195" i="22"/>
  <c r="Y196" i="22"/>
  <c r="Z196" i="22"/>
  <c r="Y197" i="22"/>
  <c r="Z197" i="22"/>
  <c r="Y198" i="22"/>
  <c r="Z198" i="22"/>
  <c r="Y199" i="22"/>
  <c r="Z199" i="22"/>
  <c r="Y200" i="22"/>
  <c r="Z200" i="22"/>
  <c r="Y201" i="22"/>
  <c r="Z201" i="22"/>
  <c r="Y202" i="22"/>
  <c r="Z202" i="22"/>
  <c r="Y203" i="22"/>
  <c r="Z203" i="22"/>
  <c r="Y204" i="22"/>
  <c r="Z204" i="22"/>
  <c r="Y205" i="22"/>
  <c r="Z205" i="22"/>
  <c r="Y206" i="22"/>
  <c r="Z206" i="22"/>
  <c r="Y207" i="22"/>
  <c r="Z207" i="22"/>
  <c r="Y208" i="22"/>
  <c r="Z208" i="22"/>
  <c r="Y209" i="22"/>
  <c r="Z209" i="22"/>
  <c r="Y210" i="22"/>
  <c r="Z210" i="22"/>
  <c r="Y211" i="22"/>
  <c r="Z211" i="22"/>
  <c r="Y212" i="22"/>
  <c r="Z212" i="22"/>
  <c r="Y213" i="22"/>
  <c r="Z213" i="22"/>
  <c r="Y214" i="22"/>
  <c r="Z214" i="22"/>
  <c r="Y215" i="22"/>
  <c r="Z215" i="22"/>
  <c r="Y216" i="22"/>
  <c r="Z216" i="22"/>
  <c r="Y217" i="22"/>
  <c r="Z217" i="22"/>
  <c r="Y218" i="22"/>
  <c r="Z218" i="22"/>
  <c r="Y219" i="22"/>
  <c r="Z219" i="22"/>
  <c r="Y220" i="22"/>
  <c r="Z220" i="22"/>
  <c r="Y221" i="22"/>
  <c r="Z221" i="22"/>
  <c r="Y222" i="22"/>
  <c r="Z222" i="22"/>
  <c r="Y223" i="22"/>
  <c r="Z223" i="22"/>
  <c r="Y224" i="22"/>
  <c r="Z224" i="22"/>
  <c r="Y225" i="22"/>
  <c r="Z225" i="22"/>
  <c r="Y226" i="22"/>
  <c r="Z226" i="22"/>
  <c r="Y227" i="22"/>
  <c r="Z227" i="22"/>
  <c r="Y228" i="22"/>
  <c r="Z228" i="22"/>
  <c r="Y229" i="22"/>
  <c r="Z229" i="22"/>
  <c r="Y230" i="22"/>
  <c r="Z230" i="22"/>
  <c r="Y231" i="22"/>
  <c r="Z231" i="22"/>
  <c r="Y232" i="22"/>
  <c r="Z232" i="22"/>
  <c r="Y233" i="22"/>
  <c r="Z233" i="22"/>
  <c r="Y234" i="22"/>
  <c r="Z234" i="22"/>
  <c r="Y235" i="22"/>
  <c r="Z235" i="22"/>
  <c r="Y236" i="22"/>
  <c r="Z236" i="22"/>
  <c r="Y237" i="22"/>
  <c r="Z237" i="22"/>
  <c r="Y238" i="22"/>
  <c r="Z238" i="22"/>
  <c r="Y239" i="22"/>
  <c r="Z239" i="22"/>
  <c r="Y240" i="22"/>
  <c r="Z240" i="22"/>
  <c r="Y241" i="22"/>
  <c r="Z241" i="22"/>
  <c r="Y242" i="22"/>
  <c r="Z242" i="22"/>
  <c r="Y243" i="22"/>
  <c r="Z243" i="22"/>
  <c r="Y244" i="22"/>
  <c r="Z244" i="22"/>
  <c r="Y245" i="22"/>
  <c r="Z245" i="22"/>
  <c r="Y246" i="22"/>
  <c r="Z246" i="22"/>
  <c r="Y247" i="22"/>
  <c r="Z247" i="22"/>
  <c r="Y248" i="22"/>
  <c r="Z248" i="22"/>
  <c r="Y249" i="22"/>
  <c r="Z249" i="22"/>
  <c r="Y250" i="22"/>
  <c r="Z250" i="22"/>
  <c r="Y251" i="22"/>
  <c r="Z251" i="22"/>
  <c r="Y252" i="22"/>
  <c r="Z252" i="22"/>
  <c r="Y253" i="22"/>
  <c r="Z253" i="22"/>
  <c r="Y254" i="22"/>
  <c r="Z254" i="22"/>
  <c r="Y255" i="22"/>
  <c r="Z255" i="22"/>
  <c r="Y256" i="22"/>
  <c r="Z256" i="22"/>
  <c r="Y257" i="22"/>
  <c r="Z257" i="22"/>
  <c r="Y258" i="22"/>
  <c r="Z258" i="22"/>
  <c r="Z2" i="22" l="1"/>
  <c r="Y2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Jelina</author>
  </authors>
  <commentList>
    <comment ref="A20" authorId="0" shapeId="0" xr:uid="{D44B7AD0-9903-4B19-A4CA-813F270C7A56}">
      <text>
        <r>
          <rPr>
            <b/>
            <sz val="9"/>
            <color indexed="81"/>
            <rFont val="Tahoma"/>
            <family val="2"/>
          </rPr>
          <t>Code 21 is for QGI7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1" authorId="0" shapeId="0" xr:uid="{FA720C8C-E871-460A-BECD-B74264A4A74F}">
      <text>
        <r>
          <rPr>
            <b/>
            <sz val="9"/>
            <color indexed="81"/>
            <rFont val="Tahoma"/>
            <family val="2"/>
          </rPr>
          <t>Code 22 is for QSC4
only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<sst xmlns="http://schemas.openxmlformats.org/spreadsheetml/2006/main" count="9154" uniqueCount="1523">
  <si>
    <t>BACHELOR OF ARTS (NET)</t>
  </si>
  <si>
    <t>ARTS AND LITERATURE (SUBNET)</t>
  </si>
  <si>
    <t>AB Film</t>
  </si>
  <si>
    <t>Theater Arts</t>
  </si>
  <si>
    <t>AB Major in Economics</t>
  </si>
  <si>
    <t>SUBNET</t>
  </si>
  <si>
    <t>NET</t>
  </si>
  <si>
    <t>SOCIAL SCIENCES (SUBNET)</t>
  </si>
  <si>
    <t>1004+1077</t>
  </si>
  <si>
    <t>Legal Management</t>
  </si>
  <si>
    <t>1005+1006+1072+1116</t>
  </si>
  <si>
    <t>AB Political Science</t>
  </si>
  <si>
    <t>Mass Communication</t>
  </si>
  <si>
    <t>Code</t>
  </si>
  <si>
    <t>Stubs</t>
  </si>
  <si>
    <t>Net Type</t>
  </si>
  <si>
    <t>ITEM</t>
  </si>
  <si>
    <t>AB History</t>
  </si>
  <si>
    <t>AB in Interdisciplinary Studies</t>
  </si>
  <si>
    <t>AB Sports Management</t>
  </si>
  <si>
    <t>Applied Economics</t>
  </si>
  <si>
    <r>
      <t>1086+1064+1110+</t>
    </r>
    <r>
      <rPr>
        <b/>
        <sz val="11"/>
        <color rgb="FF00B050"/>
        <rFont val="Arial"/>
        <family val="2"/>
      </rPr>
      <t>3012</t>
    </r>
  </si>
  <si>
    <t>BS International Studies</t>
  </si>
  <si>
    <t>1099+1177</t>
  </si>
  <si>
    <t>BS Entertainment and Multimedia Computing</t>
  </si>
  <si>
    <r>
      <t>1108+1154+1155+1156+1160+1175+1102+</t>
    </r>
    <r>
      <rPr>
        <b/>
        <sz val="11"/>
        <color rgb="FF00B050"/>
        <rFont val="Arial"/>
        <family val="2"/>
      </rPr>
      <t>3028+3039+3068</t>
    </r>
  </si>
  <si>
    <t>Fine Arts</t>
  </si>
  <si>
    <t>AB Literature Malikhaing Pagsulat</t>
  </si>
  <si>
    <t>BA Comparative Literature</t>
  </si>
  <si>
    <t>BA Journalism</t>
  </si>
  <si>
    <t>BA Linguistics</t>
  </si>
  <si>
    <r>
      <t>1144</t>
    </r>
    <r>
      <rPr>
        <b/>
        <sz val="11"/>
        <color rgb="FF00B050"/>
        <rFont val="Arial"/>
        <family val="2"/>
      </rPr>
      <t>+3015+3040</t>
    </r>
  </si>
  <si>
    <t>BA Music</t>
  </si>
  <si>
    <t>BA Speech Communication</t>
  </si>
  <si>
    <t>Speech and Theatre</t>
  </si>
  <si>
    <r>
      <t>1212+1003+1194+1199</t>
    </r>
    <r>
      <rPr>
        <b/>
        <sz val="11"/>
        <color rgb="FF00B050"/>
        <rFont val="Arial"/>
        <family val="2"/>
      </rPr>
      <t>+3011+3065</t>
    </r>
  </si>
  <si>
    <t>BA English Language Studies</t>
  </si>
  <si>
    <t>BA Literary and Cultural Studies</t>
  </si>
  <si>
    <t>BA Islamic Studies</t>
  </si>
  <si>
    <t>AB Filipino</t>
  </si>
  <si>
    <r>
      <t>1195</t>
    </r>
    <r>
      <rPr>
        <b/>
        <sz val="11"/>
        <color rgb="FF00B050"/>
        <rFont val="Arial"/>
        <family val="2"/>
      </rPr>
      <t>+3009</t>
    </r>
  </si>
  <si>
    <t>Bachelor of Mass Communication Major in Broadcasting</t>
  </si>
  <si>
    <t>Theatre Management</t>
  </si>
  <si>
    <t>3010+3072</t>
  </si>
  <si>
    <t>BA Communication Digital Cinema</t>
  </si>
  <si>
    <t>BA Filipino</t>
  </si>
  <si>
    <t>BA History</t>
  </si>
  <si>
    <t>Bachelor of Creative Writing</t>
  </si>
  <si>
    <t>Bachelor of Music in Music Education</t>
  </si>
  <si>
    <t>Bachelor of Fitness and Sports Management</t>
  </si>
  <si>
    <t>Bachelor of Multimedia Arts</t>
  </si>
  <si>
    <t>AA Associate in Arts</t>
  </si>
  <si>
    <r>
      <t>1036+1124</t>
    </r>
    <r>
      <rPr>
        <b/>
        <sz val="11"/>
        <color rgb="FF00B050"/>
        <rFont val="Arial"/>
        <family val="2"/>
      </rPr>
      <t>+3069</t>
    </r>
  </si>
  <si>
    <t>BA Communication</t>
  </si>
  <si>
    <r>
      <t>1037</t>
    </r>
    <r>
      <rPr>
        <b/>
        <sz val="11"/>
        <color rgb="FF00B050"/>
        <rFont val="Arial"/>
        <family val="2"/>
      </rPr>
      <t>+3070+3071</t>
    </r>
  </si>
  <si>
    <t>BA Communication Arts</t>
  </si>
  <si>
    <t>AB Consular and Diplomatic Affairs</t>
  </si>
  <si>
    <t>BS Legal Management</t>
  </si>
  <si>
    <r>
      <t>1065</t>
    </r>
    <r>
      <rPr>
        <b/>
        <sz val="11"/>
        <color rgb="FF00B050"/>
        <rFont val="Arial"/>
        <family val="2"/>
      </rPr>
      <t>+3017</t>
    </r>
  </si>
  <si>
    <t>BA Behavioral Science</t>
  </si>
  <si>
    <t>AB Psychology</t>
  </si>
  <si>
    <t>Elementary Education</t>
  </si>
  <si>
    <t>1126+1125</t>
  </si>
  <si>
    <t>AB Diplomacy and International Relations</t>
  </si>
  <si>
    <t>AB Philosophy</t>
  </si>
  <si>
    <r>
      <t>1130</t>
    </r>
    <r>
      <rPr>
        <b/>
        <sz val="11"/>
        <color rgb="FF00B050"/>
        <rFont val="Arial"/>
        <family val="2"/>
      </rPr>
      <t>+3020+3024</t>
    </r>
  </si>
  <si>
    <t>AB Social Science</t>
  </si>
  <si>
    <t>BA Communication Research</t>
  </si>
  <si>
    <t>BA Sociology</t>
  </si>
  <si>
    <r>
      <t>1153</t>
    </r>
    <r>
      <rPr>
        <b/>
        <sz val="11"/>
        <color rgb="FF00B050"/>
        <rFont val="Arial"/>
        <family val="2"/>
      </rPr>
      <t>+3075</t>
    </r>
  </si>
  <si>
    <t>BS Social Work</t>
  </si>
  <si>
    <t>BS Community Development</t>
  </si>
  <si>
    <t>BS Community Nutrition</t>
  </si>
  <si>
    <t>BS Family Life and Child Development</t>
  </si>
  <si>
    <t>Law</t>
  </si>
  <si>
    <t>BA Social Science</t>
  </si>
  <si>
    <t>AB Development Studies</t>
  </si>
  <si>
    <t>AB Humanities</t>
  </si>
  <si>
    <t>AB Sociology</t>
  </si>
  <si>
    <t>BS Development Communication</t>
  </si>
  <si>
    <t>BA Organizational Communication</t>
  </si>
  <si>
    <t>BACHELOR OF SCIENCE (NET)</t>
  </si>
  <si>
    <t>1010+1008+1009+1079</t>
  </si>
  <si>
    <t>BS Architecture</t>
  </si>
  <si>
    <t>1011+1151+1187</t>
  </si>
  <si>
    <t>BS Mathematics</t>
  </si>
  <si>
    <t>BS Chemistry</t>
  </si>
  <si>
    <r>
      <t>1041+1013+1014</t>
    </r>
    <r>
      <rPr>
        <b/>
        <sz val="11"/>
        <color rgb="FF00B050"/>
        <rFont val="Arial"/>
        <family val="2"/>
      </rPr>
      <t>+3082</t>
    </r>
  </si>
  <si>
    <t>BS Computer Science</t>
  </si>
  <si>
    <r>
      <t>1042+1182</t>
    </r>
    <r>
      <rPr>
        <b/>
        <sz val="11"/>
        <color rgb="FF00B050"/>
        <rFont val="Arial"/>
        <family val="2"/>
      </rPr>
      <t>+3014</t>
    </r>
  </si>
  <si>
    <t>BS Criminology</t>
  </si>
  <si>
    <r>
      <t>1045+1015</t>
    </r>
    <r>
      <rPr>
        <b/>
        <sz val="11"/>
        <color rgb="FF00B050"/>
        <rFont val="Arial"/>
        <family val="2"/>
      </rPr>
      <t>+3079</t>
    </r>
  </si>
  <si>
    <t>BS Information Technology</t>
  </si>
  <si>
    <t>BS Food Technology</t>
  </si>
  <si>
    <t>BS Data Science and Analytics</t>
  </si>
  <si>
    <t>BS Applied Physics</t>
  </si>
  <si>
    <t>BS Management of Applied Chemistry</t>
  </si>
  <si>
    <t>BS Statistics</t>
  </si>
  <si>
    <t>BS Physics</t>
  </si>
  <si>
    <t>BS Electronics Technology</t>
  </si>
  <si>
    <t>Information and Communication Technology</t>
  </si>
  <si>
    <r>
      <t>1196</t>
    </r>
    <r>
      <rPr>
        <b/>
        <sz val="11"/>
        <color rgb="FF00B050"/>
        <rFont val="Arial"/>
        <family val="2"/>
      </rPr>
      <t>+3033+3027</t>
    </r>
  </si>
  <si>
    <t>BS Environmental Science Major in Environmental Heritage Studies</t>
  </si>
  <si>
    <t>BS Applied Mathematics</t>
  </si>
  <si>
    <t>BS Aviation Technology</t>
  </si>
  <si>
    <t>1123+1157+1158+1159</t>
  </si>
  <si>
    <t>BS Industrial Technology</t>
  </si>
  <si>
    <r>
      <t>1138+1012</t>
    </r>
    <r>
      <rPr>
        <b/>
        <sz val="11"/>
        <color rgb="FF00B050"/>
        <rFont val="Arial"/>
        <family val="2"/>
      </rPr>
      <t>+3034+3016+3076</t>
    </r>
  </si>
  <si>
    <t>Bachelor in Sports Science</t>
  </si>
  <si>
    <t>BS Life Science</t>
  </si>
  <si>
    <t>3019+3032+3057+3056</t>
  </si>
  <si>
    <t>Bachelor of Agriculture</t>
  </si>
  <si>
    <t>3008+3030</t>
  </si>
  <si>
    <t>Bachelor of Automotive Technology</t>
  </si>
  <si>
    <t>BS Geology</t>
  </si>
  <si>
    <t>BS Tourism</t>
  </si>
  <si>
    <t>Diploma Aquaculture Fisheries</t>
  </si>
  <si>
    <t>Diploma in Machine Shop Technology</t>
  </si>
  <si>
    <t>BS Political Science</t>
  </si>
  <si>
    <t>BS Foreign Affairs</t>
  </si>
  <si>
    <t>BS Clothing Technology</t>
  </si>
  <si>
    <t>BS Interior Design</t>
  </si>
  <si>
    <t>BS-Digital Forensics</t>
  </si>
  <si>
    <t>BS Environmental planning</t>
  </si>
  <si>
    <t>BS Basic Human Studies</t>
  </si>
  <si>
    <t>College of hospitality education</t>
  </si>
  <si>
    <t>BS  Game development</t>
  </si>
  <si>
    <t>EDUCATION (SUBNET)</t>
  </si>
  <si>
    <t>Bachelor of Physical Education</t>
  </si>
  <si>
    <r>
      <t>2005+1208</t>
    </r>
    <r>
      <rPr>
        <b/>
        <sz val="11"/>
        <color rgb="FF00B050"/>
        <rFont val="Arial"/>
        <family val="2"/>
      </rPr>
      <t>+3047</t>
    </r>
  </si>
  <si>
    <t>Education</t>
  </si>
  <si>
    <r>
      <t>1133</t>
    </r>
    <r>
      <rPr>
        <b/>
        <sz val="11"/>
        <color rgb="FF00B050"/>
        <rFont val="Arial"/>
        <family val="2"/>
      </rPr>
      <t>+3043</t>
    </r>
  </si>
  <si>
    <t>Bachelor in Elementary Education</t>
  </si>
  <si>
    <r>
      <t>1137+1201</t>
    </r>
    <r>
      <rPr>
        <b/>
        <sz val="11"/>
        <color rgb="FF00B050"/>
        <rFont val="Arial"/>
        <family val="2"/>
      </rPr>
      <t>+3050</t>
    </r>
  </si>
  <si>
    <t>Bachelor in Secondary Education</t>
  </si>
  <si>
    <t>Bachelor of Early Childhood Education</t>
  </si>
  <si>
    <t>Bachelor of Special Needs Eduction</t>
  </si>
  <si>
    <t>ENGINEERING COURSES (SUB-SUBNET)</t>
  </si>
  <si>
    <r>
      <t>1016</t>
    </r>
    <r>
      <rPr>
        <b/>
        <sz val="11"/>
        <color rgb="FF00B050"/>
        <rFont val="Arial"/>
        <family val="2"/>
      </rPr>
      <t>+3059</t>
    </r>
  </si>
  <si>
    <t>BS Chemical Engineering</t>
  </si>
  <si>
    <t>1017+1052</t>
  </si>
  <si>
    <t>BS Civil Engineering</t>
  </si>
  <si>
    <t>1018+1121</t>
  </si>
  <si>
    <t>Engineering</t>
  </si>
  <si>
    <t>1040+1053</t>
  </si>
  <si>
    <t>BS Computer Engineering</t>
  </si>
  <si>
    <t>1050+1112</t>
  </si>
  <si>
    <t>BS Mechanical Engineering</t>
  </si>
  <si>
    <t>1078+1057</t>
  </si>
  <si>
    <t>BS Environmental and Sanitary Engineering</t>
  </si>
  <si>
    <t>BS Electrical Engineering</t>
  </si>
  <si>
    <t>BS Petroleum Engineering</t>
  </si>
  <si>
    <t>BS Marine Transportation</t>
  </si>
  <si>
    <t>Electrical Engineering</t>
  </si>
  <si>
    <t>BS Engineering Major in Transportation</t>
  </si>
  <si>
    <t>Bachelor in Landscape Architecture</t>
  </si>
  <si>
    <t>Bachelor of Engineering Technology Major in Mechatronics</t>
  </si>
  <si>
    <t>1149+1131</t>
  </si>
  <si>
    <t>BS Aeronautical Engineering</t>
  </si>
  <si>
    <r>
      <t>1150</t>
    </r>
    <r>
      <rPr>
        <b/>
        <sz val="11"/>
        <color rgb="FF00B050"/>
        <rFont val="Arial"/>
        <family val="2"/>
      </rPr>
      <t>+3074</t>
    </r>
  </si>
  <si>
    <t>BS Electronics Engineering</t>
  </si>
  <si>
    <t>1167+1019</t>
  </si>
  <si>
    <t>BS Electronics and Communications Engineering</t>
  </si>
  <si>
    <t>BS Geodetic Engineering</t>
  </si>
  <si>
    <r>
      <t>1172+1109</t>
    </r>
    <r>
      <rPr>
        <b/>
        <sz val="11"/>
        <color rgb="FF00B050"/>
        <rFont val="Arial"/>
        <family val="2"/>
      </rPr>
      <t>+3062</t>
    </r>
  </si>
  <si>
    <t>BS Industrial Engineering</t>
  </si>
  <si>
    <t>BS Agricultural Engineering</t>
  </si>
  <si>
    <t>BS Mining Engineering</t>
  </si>
  <si>
    <t>Mechatronics Engineering</t>
  </si>
  <si>
    <t>BS Energy Engineering</t>
  </si>
  <si>
    <t>BS Software Engineering</t>
  </si>
  <si>
    <t>BS Engineering Technology</t>
  </si>
  <si>
    <t>BS Materials Engineering</t>
  </si>
  <si>
    <t>MEDICAL STUDIES (SUB-SUBNET)</t>
  </si>
  <si>
    <t>1020+1021</t>
  </si>
  <si>
    <t>Medical Biology</t>
  </si>
  <si>
    <t>1035+1114</t>
  </si>
  <si>
    <t>BS Nursing</t>
  </si>
  <si>
    <r>
      <t>1038+1076</t>
    </r>
    <r>
      <rPr>
        <b/>
        <sz val="11"/>
        <color rgb="FF00B050"/>
        <rFont val="Arial"/>
        <family val="2"/>
      </rPr>
      <t>+3063</t>
    </r>
  </si>
  <si>
    <t>BS Biology</t>
  </si>
  <si>
    <t>BS Human Biology</t>
  </si>
  <si>
    <r>
      <t>1047+1117+1189</t>
    </r>
    <r>
      <rPr>
        <b/>
        <sz val="11"/>
        <color rgb="FF00B050"/>
        <rFont val="Arial"/>
        <family val="2"/>
      </rPr>
      <t>+3064</t>
    </r>
  </si>
  <si>
    <t>BS Psychology</t>
  </si>
  <si>
    <r>
      <t>1090+1113</t>
    </r>
    <r>
      <rPr>
        <b/>
        <sz val="11"/>
        <color rgb="FF00B050"/>
        <rFont val="Arial"/>
        <family val="2"/>
      </rPr>
      <t>+3013</t>
    </r>
  </si>
  <si>
    <t>BS Medical Technology</t>
  </si>
  <si>
    <t>BS Pharmacy</t>
  </si>
  <si>
    <t>BS Premed Physics</t>
  </si>
  <si>
    <r>
      <t>1105</t>
    </r>
    <r>
      <rPr>
        <b/>
        <sz val="11"/>
        <color rgb="FF00B050"/>
        <rFont val="Arial"/>
        <family val="2"/>
      </rPr>
      <t>+3067</t>
    </r>
  </si>
  <si>
    <t>Dentistry</t>
  </si>
  <si>
    <t>BS Medical Terminology and Administration</t>
  </si>
  <si>
    <t>BA Applied Psychology</t>
  </si>
  <si>
    <r>
      <t>1148</t>
    </r>
    <r>
      <rPr>
        <b/>
        <sz val="11"/>
        <color rgb="FF00B050"/>
        <rFont val="Arial"/>
        <family val="2"/>
      </rPr>
      <t>+3078</t>
    </r>
  </si>
  <si>
    <t>Bachelor of Forensic Science</t>
  </si>
  <si>
    <t>BS Medical Laboratory Science</t>
  </si>
  <si>
    <t>Doctor of Dental Medicine</t>
  </si>
  <si>
    <t>1198+1115</t>
  </si>
  <si>
    <t>BS Physical Therapy</t>
  </si>
  <si>
    <t>BS Occupational Therapy</t>
  </si>
  <si>
    <r>
      <t>1206</t>
    </r>
    <r>
      <rPr>
        <b/>
        <sz val="11"/>
        <color rgb="FF00B050"/>
        <rFont val="Arial"/>
        <family val="2"/>
      </rPr>
      <t>+3035</t>
    </r>
  </si>
  <si>
    <t>BS Radiologic Technology</t>
  </si>
  <si>
    <t>BS Respiratory Therapy</t>
  </si>
  <si>
    <t>Doctor of Medicine</t>
  </si>
  <si>
    <t>BS Biochemistry</t>
  </si>
  <si>
    <t>BS Nutrition and Dietetics</t>
  </si>
  <si>
    <t>Bachelor in Medical Laboratory Science</t>
  </si>
  <si>
    <t>BS Health Sciences</t>
  </si>
  <si>
    <t>BS Animal Biology</t>
  </si>
  <si>
    <t>BS  MIDWIFERY</t>
  </si>
  <si>
    <t>BUSINESS COURSES (SUBNET)</t>
  </si>
  <si>
    <r>
      <t>1022+1023</t>
    </r>
    <r>
      <rPr>
        <b/>
        <sz val="11"/>
        <color rgb="FF00B050"/>
        <rFont val="Arial"/>
        <family val="2"/>
      </rPr>
      <t>+3018</t>
    </r>
  </si>
  <si>
    <t>BS Accountancy</t>
  </si>
  <si>
    <t>BSBA Financial Management</t>
  </si>
  <si>
    <t>Tourism</t>
  </si>
  <si>
    <t>BS Tourism Management</t>
  </si>
  <si>
    <t>BS Hospitality Management</t>
  </si>
  <si>
    <t>BSBA Marketing Management</t>
  </si>
  <si>
    <t>Financial Management</t>
  </si>
  <si>
    <t>Hospitality Management</t>
  </si>
  <si>
    <t>1056+2003</t>
  </si>
  <si>
    <t>Marketing Management</t>
  </si>
  <si>
    <t>BS Entrepreneurship</t>
  </si>
  <si>
    <r>
      <t>1083+1183</t>
    </r>
    <r>
      <rPr>
        <b/>
        <sz val="11"/>
        <color rgb="FF00B050"/>
        <rFont val="Arial"/>
        <family val="2"/>
      </rPr>
      <t>+3038</t>
    </r>
  </si>
  <si>
    <t>BS Hotel and Restaurant Management</t>
  </si>
  <si>
    <t>1085+1024</t>
  </si>
  <si>
    <t>BS Internal Auditing</t>
  </si>
  <si>
    <t>BS Management</t>
  </si>
  <si>
    <t>BS Management Accounting</t>
  </si>
  <si>
    <t>BS Management of Financial Institutions</t>
  </si>
  <si>
    <t>1094+2008</t>
  </si>
  <si>
    <t>BS Real Estate Management</t>
  </si>
  <si>
    <t>1096+2002+2004</t>
  </si>
  <si>
    <t>BS Accounting Information Systems</t>
  </si>
  <si>
    <t>Business Management</t>
  </si>
  <si>
    <t>College of Tourism and Hospitality Management</t>
  </si>
  <si>
    <t>Culinary Entrepreneur</t>
  </si>
  <si>
    <t>Institute of Tourism and Hotel Management</t>
  </si>
  <si>
    <t>Tourism Management</t>
  </si>
  <si>
    <t>BS Customs Administration</t>
  </si>
  <si>
    <t>AB Management Economics</t>
  </si>
  <si>
    <t>Applied Corporate Management</t>
  </si>
  <si>
    <r>
      <t>1162</t>
    </r>
    <r>
      <rPr>
        <b/>
        <sz val="11"/>
        <color rgb="FF00B050"/>
        <rFont val="Arial"/>
        <family val="2"/>
      </rPr>
      <t>+3005+3021+3045+3049</t>
    </r>
  </si>
  <si>
    <t>BS Economics</t>
  </si>
  <si>
    <t>BS Communications Technology Management</t>
  </si>
  <si>
    <t>BSBA Human Resources Development Management</t>
  </si>
  <si>
    <t>BS Restaurant Enterpreneurship</t>
  </si>
  <si>
    <t>BS Marketing</t>
  </si>
  <si>
    <t>BS Management Information Systems</t>
  </si>
  <si>
    <t>BS Business</t>
  </si>
  <si>
    <t>College of Business and Accountancy</t>
  </si>
  <si>
    <t>BS Fish Processing</t>
  </si>
  <si>
    <t>Bachelor in Library and Information Science</t>
  </si>
  <si>
    <t>Bachelor in Public Administration</t>
  </si>
  <si>
    <t>1074+1075+1097+1161+1211</t>
  </si>
  <si>
    <t>BS Business Administration</t>
  </si>
  <si>
    <t>BS Business Accountancy</t>
  </si>
  <si>
    <t>BS Business Economics</t>
  </si>
  <si>
    <t>BS Business Management</t>
  </si>
  <si>
    <t>BS Management Engineering</t>
  </si>
  <si>
    <t>BS Marketing Management</t>
  </si>
  <si>
    <t>BS Public Administration</t>
  </si>
  <si>
    <t>BSBA Entrepreneurial Management</t>
  </si>
  <si>
    <t>Customs Administration</t>
  </si>
  <si>
    <t>BS Culinary Arts</t>
  </si>
  <si>
    <t>BS Financial Management</t>
  </si>
  <si>
    <t>The institute of account, business and finance</t>
  </si>
  <si>
    <t>BSBA Operation managements</t>
  </si>
  <si>
    <t>GRADUTE STUDIES (NET)</t>
  </si>
  <si>
    <t>Master of Science in Applied Physics</t>
  </si>
  <si>
    <t>Masters of Science in Chemistry</t>
  </si>
  <si>
    <t>MA Sociology</t>
  </si>
  <si>
    <t>SENIOR HIGH SCHOOL (NET)</t>
  </si>
  <si>
    <t>HUMANITIES AND SOCIAL SCIENCES STRAND (SUBNET)</t>
  </si>
  <si>
    <t>HUMSS</t>
  </si>
  <si>
    <t>GENERAL ACADEMIC STRAND (SUBNET)</t>
  </si>
  <si>
    <t>GAS</t>
  </si>
  <si>
    <t>Arts and Design</t>
  </si>
  <si>
    <t>Basic Education</t>
  </si>
  <si>
    <t>PHYSICAL EDUCATION AND SPORTS SOCIETY STRAND (SUBNET)</t>
  </si>
  <si>
    <t>PES</t>
  </si>
  <si>
    <t>ACCOUNTANCY AND BUSINESS MANAGEMENT (SUBNET)</t>
  </si>
  <si>
    <t>ABM</t>
  </si>
  <si>
    <t>SPT</t>
  </si>
  <si>
    <t>TECHNICAL-VOCATIONAL-LIVELIHOOD STRAND (SUBNET)</t>
  </si>
  <si>
    <t>TVL</t>
  </si>
  <si>
    <t>Home Economics</t>
  </si>
  <si>
    <t>ICT</t>
  </si>
  <si>
    <t>SCIENCE, TECHNOLOGY, ENGINEERING, AND MATHEMATICS(SUBNET)</t>
  </si>
  <si>
    <t>STEM</t>
  </si>
  <si>
    <t>STEAM</t>
  </si>
  <si>
    <t>STE</t>
  </si>
  <si>
    <t>STM</t>
  </si>
  <si>
    <t>OTHERS IN SENIOR HIGH SCHOOL (SUBNET)</t>
  </si>
  <si>
    <t>Senior High School (Unspecified Strand)</t>
  </si>
  <si>
    <t>Senior High School</t>
  </si>
  <si>
    <t>Senior High School Grade12</t>
  </si>
  <si>
    <t>OTHERS IN JUNIOR HIGH SCHOOL (SUBNET)</t>
  </si>
  <si>
    <t>Junior High School</t>
  </si>
  <si>
    <t>Junior High School Grade 9</t>
  </si>
  <si>
    <t>Junior High School Grade 10</t>
  </si>
  <si>
    <t>UNSPECIFIED (NET)</t>
  </si>
  <si>
    <t>N/A</t>
  </si>
  <si>
    <t>9996+2001+2006+2007+2009+2010+2011</t>
  </si>
  <si>
    <t>Can't say</t>
  </si>
  <si>
    <t>None</t>
  </si>
  <si>
    <t>BS CH MSE</t>
  </si>
  <si>
    <t>Sports track</t>
  </si>
  <si>
    <t>SUBSUBNET</t>
  </si>
  <si>
    <t>3084+3089+3102</t>
  </si>
  <si>
    <t>1028+1058+1192+1193+1062+1029+1063+1033+1059+1060+1034+1197+3002+3003+1030+1031+1032+1061+3103+3104</t>
  </si>
  <si>
    <t>1058+1192+1193</t>
  </si>
  <si>
    <t>1029+1063</t>
  </si>
  <si>
    <t>1033+1059+1060</t>
  </si>
  <si>
    <t>1034+1197+3002+3003</t>
  </si>
  <si>
    <t>1030+1031+1032</t>
  </si>
  <si>
    <t>1061+3103+3104</t>
  </si>
  <si>
    <t>9995+9996+2001+2006+2007+2009+2010+2011+9999+1163+3094</t>
  </si>
  <si>
    <t>1020+1021+1035+1114+1038+1076+3063+1046+1047+1117+1189+3064+1090+1113+3013+1092+1093+1105+3067+1100+1139+1148+3078+1152+1184+1198+1115+1205+1206+3035+1095+3001+3031+3036+3077+3083+3090+3093</t>
  </si>
  <si>
    <t>Indent</t>
  </si>
  <si>
    <t xml:space="preserve">`     </t>
  </si>
  <si>
    <t xml:space="preserve">`          </t>
  </si>
  <si>
    <t xml:space="preserve">`               </t>
  </si>
  <si>
    <t>Stubs No Indent</t>
  </si>
  <si>
    <t>&lt;Q&gt;</t>
  </si>
  <si>
    <t>`</t>
  </si>
  <si>
    <t>Level</t>
  </si>
  <si>
    <t>Q</t>
  </si>
  <si>
    <t>B</t>
  </si>
  <si>
    <t>A</t>
  </si>
  <si>
    <t>C</t>
  </si>
  <si>
    <t>D</t>
  </si>
  <si>
    <t>Stub</t>
  </si>
  <si>
    <t>VAGUE (NET)</t>
  </si>
  <si>
    <t>OTHERS (NET)</t>
  </si>
  <si>
    <t>Poster</t>
  </si>
  <si>
    <t>Tarpaulin</t>
  </si>
  <si>
    <t>Lazada</t>
  </si>
  <si>
    <t>Don't know</t>
  </si>
  <si>
    <t>Affordable</t>
  </si>
  <si>
    <t>BA European Languages</t>
  </si>
  <si>
    <t>BA Philippine Studies</t>
  </si>
  <si>
    <t>AB Anthropology</t>
  </si>
  <si>
    <t>BS Geography</t>
  </si>
  <si>
    <t>BS Physical Theory</t>
  </si>
  <si>
    <t>Bachelor of Science in Fisheries</t>
  </si>
  <si>
    <t>BS Metallurgical Engineering</t>
  </si>
  <si>
    <t>BS in Agricultural and Biosystems Engineering</t>
  </si>
  <si>
    <t>Diploma of Building and Construction</t>
  </si>
  <si>
    <t>BS Business Analytics</t>
  </si>
  <si>
    <t>BS Advertising Management</t>
  </si>
  <si>
    <t>FOREIGN NON-MAJOR COURSE (NET)</t>
  </si>
  <si>
    <t>Non Major</t>
  </si>
  <si>
    <t>1001+1002+1066+1067+1068+1070+1071+1086+1064+1110+3012+1099+1177+1108+1154+1155+1156+1160+1175+1102+3028+3039+3068+1127+1141+1142+1143+1144+3015+3040+1146+1209+1212+1003+1194+1199+3011+3065+1213+1214+1215+1195+3009+1190+3010+3072+3022+3023+3025+3099+3100+3106+3109+3110+3111+1004+1077+1005+1006+1072+1116+1007+1036+1124+3069+1037+3070+3071+1048+1049+1065+3017+1069+1107+1126+1125+1129+1130+3020+3024+1140+1145+1153+3075+1165+1166+1169+1186+3054+3004+3006+3007+3044+3091+3115+3112</t>
  </si>
  <si>
    <t>1001+1002+1066+1067+1068+1070+1071+1086+1064+1110+3012+1099+1177+1108+1154+1155+1156+1160+1175+1102+3028+3039+3068+1127+1141+1142+1143+1144+3015+3040+1146+1209+1212+1003+1194+1199+3011+3065+1213+1214+1215+1195+3009+1190+3010+3072+3022+3023+3025+3099+3100+3106+3109+3110+3111</t>
  </si>
  <si>
    <t>1004+1077+1005+1006+1072+1116+1007+1036+1124+3069+1037+3070+3071+1048+1049+1065+3017+1069+1107+1126+1125+1129+1130+3020+3024+1140+1145+1153+3075+1165+1166+1169+1186+3054+3004+3006+3007+3044+3091+3115+3112</t>
  </si>
  <si>
    <t>1010+1008+1009+1079+1011+1151+1187+1039+1041+1013+1014+3082+1042+1182+3014+1045+1015+3079+1082+1084+1120+1170+1171+1179+1181+1185+1196+3033+3027+1200+1203+1123+1157+1158+1159+1138+1012+3034+3016+3076+1176+3019+3032+3057+3056+3008+3030+3048+3055+3060+3061+3066+3085+3086+3087+3095+3096+3101+3105+3107+3114+3120+1073+2005+1208+3047+1133+3043+1137+1201+3050+3026+3098+1016+3059+1017+1052+1018+1121+1040+1053+1050+1112+1078+1057+1080+1091+1101+1106+1122+1134+1147+1149+1131+1150+3074+1167+1019+1168+1172+1109+3062+1173+1178+1188+1216+3037+3046+3088+3113+3119+3121+1020+1021+1035+1114+1038+1076+3063+1046+1047+1117+1189+3064+1090+1113+3013+1092+1093+1105+3067+1100+1139+1148+3078+1152+1184+1198+1115+1205+1206+3035+1095+3001+3031+3036+3077+3083+3090+3093+1022+1023+3018+1025+1026+1027+1044+1051+1054+1055+1056+2003+1081+1083+1183+3038+1085+1024+1087+1088+1089+1094+2008+1096+2002+2004+1098+1103+1104+1111+1118+1043+1128+1132+1162+3005+3021+3045+3049+1164+1174+1180+1191+1202+1204+1207+1210+1135+1136+1074+1075+1097+1161+1211+3029+3041+3042+3051+3052+3053+3058+3073+3080+3081+3092+3108+3116+3117</t>
  </si>
  <si>
    <t>1073+2005+1208+3047+1133+3043+1137+1201+3050+3026+3098+1016+3059+1017+1052+1018+1121+1040+1053+1050+1112+1078+1057+1080+1091+1101+1106+1122+1134+1147+1149+1131+1150+3074+1167+1019+1168+1172+1109+3062+1173+1178+1188+1216+3037+3046+3088+3113+3119+3121+1020+1021+1035+1114+1038+1076+3063+1046+1047+1117+1189+3064+1090+1113+3013+1092+1093+1105+3067+1100+1139+1148+3078+1152+1184+1198+1115+1205+1206+3035+1095+3001+3031+3036+3077+3083+3090+3093</t>
  </si>
  <si>
    <t>1016+3059+1017+1052+1018+1121+1040+1053+1050+1112+1078+1057+1080+1091+1101+1106+1122+1134+1147+1149+1131+1150+3074+1167+1019+1168+1172+1109+3062+1173+1178+1188+1216+3037+3046+3088+3113+3119+3121</t>
  </si>
  <si>
    <t>1022+1023+3018+1025+1026+1027+1044+1051+1054+1055+1056+2003+1081+1083+1183+3038+1085+1024+1087+1088+1089+1094+2008+1096+2002+2004+1098+1103+1104+1111+1118+1043+1128+1132+1162+3005+3021+3045+3049+1164+1174+1180+1191+1202+1204+1207+1210+1135+1136+1074+1075+1097+1161+1211+3029+3041+3042+3051+3052+3053+3058+3073+3080+3081+3092+3108+3116+3117</t>
  </si>
  <si>
    <t>BS Information System</t>
  </si>
  <si>
    <t>Batchelor of Technical-Vocational Teacher Education</t>
  </si>
  <si>
    <t>BS Manufacturing Engineering</t>
  </si>
  <si>
    <t>BS Aviation Managament</t>
  </si>
  <si>
    <t>1010+1008+1009+1079+1011+1151+1187+1039+1041+1013+1014+3082+1042+1182+3014+1045+1015+3079+1082+1084+1120+1170+1171+1179+1181+1185+1196+3033+3027+1200+1203+1123+1157+1158+1159+1138+1012+3034+3016+3076+1176+3019+3032+3057+3056+3008+3030+3048+3055+3060+3061+3066+3085+3086+3087+3095+3096+3101+3105+3107+3114+3120+3123+1073+2005+1208+3047+1133+3043+1137+1201+3050+3026+3098+3124+1016+3059+1017+1052+1018+1121+1040+1053+1050+1112+1078+1057+1080+1091+1101+1106+1122+1134+1147+1149+1131+1150+3074+1167+1019+1168+1172+1109+3062+1173+1178+1188+1216+3037+3046+3088+3113+3119+3121+3122+1020+1021+1035+1114+1038+1076+3063+1046+1047+1117+1189+3064+1090+1113+3013+1092+1093+1105+3067+1100+1139+1148+3078+1152+1184+1198+1115+1205+1206+3035+1095+3001+3031+3036+3077+3083+3090+3093+1022+1023+3018+1025+1026+1027+1044+1051+1054+1055+1056+2003+1081+1083+1183+3038+1085+1024+1087+1088+1089+1094+2008+1096+2002+2004+1098+1103+1104+1111+1118+1043+1128+1132+1162+3005+3021+3045+3049+1164+1174+1180+1191+1202+1204+1207+1210+1135+1136+1074+1075+1097+1161+1211+3029+3041+3042+3051+3052+3053+3058+3073+3080+3081+3092+3108+3116+3117+3125</t>
  </si>
  <si>
    <t>1073+2005+1208+3047+1133+3043+1137+1201+3050+3026+3098+3124+1016+3059+1017+1052+1018+1121+1040+1053+1050+1112+1078+1057+1080+1091+1101+1106+1122+1134+1147+1149+1131+1150+3074+1167+1019+1168+1172+1109+3062+1173+1178+1188+1216+3037+3046+3088+3113+3119+3121+3122+1020+1021+1035+1114+1038+1076+3063+1046+1047+1117+1189+3064+1090+1113+3013+1092+1093+1105+3067+1100+1139+1148+3078+1152+1184+1198+1115+1205+1206+3035+1095+3001+3031+3036+3077+3083+3090+3093</t>
  </si>
  <si>
    <t>1016+3059+1017+1052+1018+1121+1040+1053+1050+1112+1078+1057+1080+1091+1101+1106+1122+1134+1147+1149+1131+1150+3074+1167+1019+1168+1172+1109+3062+1173+1178+1188+1216+3037+3046+3088+3113+3119+3121+3122</t>
  </si>
  <si>
    <t>1022+1023+3018+1025+1026+1027+1044+1051+1054+1055+1056+2003+1081+1083+1183+3038+1085+1024+1087+1088+1089+1094+2008+1096+2002+2004+1098+1103+1104+1111+1118+1043+1128+1132+1162+3005+3021+3045+3049+1164+1174+1180+1191+1202+1204+1207+1210+1135+1136+1074+1075+1097+1161+1211+3029+3041+3042+3051+3052+3053+3058+3073+3080+3081+3092+3108+3116+3117+3125</t>
  </si>
  <si>
    <t>HEART EVANGELISTA (NET)</t>
  </si>
  <si>
    <t>Heart Evangelista</t>
  </si>
  <si>
    <t>GStock of Heart</t>
  </si>
  <si>
    <t>On Heart Evanglista eating "kwek-kwek"</t>
  </si>
  <si>
    <t>On Heart Evanglista travelling abroad</t>
  </si>
  <si>
    <t>TV commercial of Heart Evangelista</t>
  </si>
  <si>
    <t>ALDEN RICHARD (NET)</t>
  </si>
  <si>
    <t>Alden Richard</t>
  </si>
  <si>
    <t>CHIZ ESCUDERO (NET)</t>
  </si>
  <si>
    <t>Chiz Escudero</t>
  </si>
  <si>
    <t>SARAH GERONIMO (NET)</t>
  </si>
  <si>
    <t xml:space="preserve">Sarah Geronimo </t>
  </si>
  <si>
    <t>TONI GONZAGA (NET)</t>
  </si>
  <si>
    <t>Toni Gonzaga ads</t>
  </si>
  <si>
    <t>JOSHUA GARCIA (NET)</t>
  </si>
  <si>
    <t xml:space="preserve">Joshua Garcia </t>
  </si>
  <si>
    <t>ANN CURTIS (NET)</t>
  </si>
  <si>
    <t>Anne curtis</t>
  </si>
  <si>
    <t>CONVENIENCE (NET)</t>
  </si>
  <si>
    <t>Convenient</t>
  </si>
  <si>
    <t>Cheap service charge or fee</t>
  </si>
  <si>
    <t>Easy to transact</t>
  </si>
  <si>
    <t>GCASH CAN BE USED ANYWHERE (NET)</t>
  </si>
  <si>
    <t>GCash can be used anywhere</t>
  </si>
  <si>
    <t>GCASH CARD (NET)</t>
  </si>
  <si>
    <t>GCash card</t>
  </si>
  <si>
    <t>CASH IN/CASH OUT (NET)</t>
  </si>
  <si>
    <t>Have cash in/ cash out in sari sari store</t>
  </si>
  <si>
    <t>SENDING MONEY (NET)</t>
  </si>
  <si>
    <t>About sending money</t>
  </si>
  <si>
    <t>Quickly use for sending money</t>
  </si>
  <si>
    <t>Sending money using Gcash</t>
  </si>
  <si>
    <t>RECEIVING MONEY (NET)</t>
  </si>
  <si>
    <t>About receiving money</t>
  </si>
  <si>
    <t>PAYMENT (NET)</t>
  </si>
  <si>
    <t>Scanning GCash QR code as payment to vendors</t>
  </si>
  <si>
    <t>Purchase of food in restaurant using GCash</t>
  </si>
  <si>
    <t>Paying bills</t>
  </si>
  <si>
    <t>Usage of QR code</t>
  </si>
  <si>
    <t>Can be use for payment in stores</t>
  </si>
  <si>
    <t>Easy payment online using Gcash</t>
  </si>
  <si>
    <t>How Gcash is use for payment</t>
  </si>
  <si>
    <t>LOANS (NET)</t>
  </si>
  <si>
    <t>Loans</t>
  </si>
  <si>
    <t>Payment of loans</t>
  </si>
  <si>
    <t>FAST TRANSACTION (NET)</t>
  </si>
  <si>
    <t>Fast transaction</t>
  </si>
  <si>
    <t>ALMA GCASH STORIES (NET)</t>
  </si>
  <si>
    <t>The woman whose house was flooded because of the typhoon</t>
  </si>
  <si>
    <t>SAFETY AND SECURITY (NET)</t>
  </si>
  <si>
    <t>Security of apps</t>
  </si>
  <si>
    <t>About scam</t>
  </si>
  <si>
    <t>Inluence them that Gcash app is safe to use</t>
  </si>
  <si>
    <t>SAVINGS  (NET)</t>
  </si>
  <si>
    <t>Savings</t>
  </si>
  <si>
    <t>About loading</t>
  </si>
  <si>
    <t>Saving money and earning from it</t>
  </si>
  <si>
    <t>GCASH PRODUCT/SERVICES  (NET)</t>
  </si>
  <si>
    <t>GSave</t>
  </si>
  <si>
    <t>GInvest</t>
  </si>
  <si>
    <t>GFund</t>
  </si>
  <si>
    <t>GInsurance</t>
  </si>
  <si>
    <t>GLife</t>
  </si>
  <si>
    <t>GGives</t>
  </si>
  <si>
    <t>GCash ads</t>
  </si>
  <si>
    <t>Gcredit</t>
  </si>
  <si>
    <t>GCrypto</t>
  </si>
  <si>
    <t>About Gload</t>
  </si>
  <si>
    <t>About Ginsure</t>
  </si>
  <si>
    <t>Show Gcash functions</t>
  </si>
  <si>
    <t>Buy load thru Gcash</t>
  </si>
  <si>
    <t>Gloan</t>
  </si>
  <si>
    <t>Gprotect Commecial</t>
  </si>
  <si>
    <t>Service in Gcash</t>
  </si>
  <si>
    <t>Gcash Credit</t>
  </si>
  <si>
    <t>Gcash platforms</t>
  </si>
  <si>
    <t>Gcash loan</t>
  </si>
  <si>
    <t>Save in Gcash</t>
  </si>
  <si>
    <t>Benefits of Gcash</t>
  </si>
  <si>
    <t>Forest reward</t>
  </si>
  <si>
    <t>Offer of Gloan</t>
  </si>
  <si>
    <t>ON SUMMER CAMPAIGN  (NET)</t>
  </si>
  <si>
    <t>Summer on GCash</t>
  </si>
  <si>
    <t>GCASH JR  (NET)</t>
  </si>
  <si>
    <t>Ads of kids about Gcash</t>
  </si>
  <si>
    <t>HOW TO REGISTER TO OR USE GCASH (NET)</t>
  </si>
  <si>
    <t>How to registered</t>
  </si>
  <si>
    <t>Steps how to use Gcash</t>
  </si>
  <si>
    <t>PROMO (NET)</t>
  </si>
  <si>
    <t>Have a promo that you invite or endorse to friends and relavies about their apps you have a gift inGcash</t>
  </si>
  <si>
    <t>INCLUSIVITY (NET)</t>
  </si>
  <si>
    <t>Tungkol sa PWD</t>
  </si>
  <si>
    <t>Shopee</t>
  </si>
  <si>
    <t>Sim advertisement</t>
  </si>
  <si>
    <t>Bingo Plus</t>
  </si>
  <si>
    <t>Gaming</t>
  </si>
  <si>
    <t>Food Panda</t>
  </si>
  <si>
    <t>Tiktok on TV</t>
  </si>
  <si>
    <t>TV</t>
  </si>
  <si>
    <t>Social media</t>
  </si>
  <si>
    <t>Youtube</t>
  </si>
  <si>
    <t>About travelling</t>
  </si>
  <si>
    <t>An artist promoting GCash</t>
  </si>
  <si>
    <t>Vloggers promoting sports by using Gcash</t>
  </si>
  <si>
    <t>About GCash</t>
  </si>
  <si>
    <t>BTS Boys</t>
  </si>
  <si>
    <t>Vouchers</t>
  </si>
  <si>
    <t>Ara</t>
  </si>
  <si>
    <t>SB19</t>
  </si>
  <si>
    <t>Hassle free</t>
  </si>
  <si>
    <t>No smarth phone</t>
  </si>
  <si>
    <t>Show how to download of Gcash</t>
  </si>
  <si>
    <t xml:space="preserve">Family eats happily because they have money </t>
  </si>
  <si>
    <t>Damaged items have been repaired or replaced</t>
  </si>
  <si>
    <t>Encourage use of Gcash</t>
  </si>
  <si>
    <t>In Showtime</t>
  </si>
  <si>
    <t>Scatter</t>
  </si>
  <si>
    <t>Shopping discount</t>
  </si>
  <si>
    <t>Tiktok ads in Gcash</t>
  </si>
  <si>
    <t>About the signs</t>
  </si>
  <si>
    <t>Takes a long time to process</t>
  </si>
  <si>
    <t>Sometimes for updating</t>
  </si>
  <si>
    <t>Facebook</t>
  </si>
  <si>
    <t>Korean</t>
  </si>
  <si>
    <t>Music video of BGYO</t>
  </si>
  <si>
    <t>Hard To Log in</t>
  </si>
  <si>
    <t>Ewallet</t>
  </si>
  <si>
    <t>Rewards</t>
  </si>
  <si>
    <t>Easy to use</t>
  </si>
  <si>
    <t>Newspeed</t>
  </si>
  <si>
    <t>Like Cellphone gadgets</t>
  </si>
  <si>
    <t>Billboard</t>
  </si>
  <si>
    <t>In a vehicle group</t>
  </si>
  <si>
    <t>Can be purchased using Gcash</t>
  </si>
  <si>
    <t>Barangay Gcash</t>
  </si>
  <si>
    <t>Basic pay</t>
  </si>
  <si>
    <t>About money</t>
  </si>
  <si>
    <t>Won of 100k</t>
  </si>
  <si>
    <t>Gcash Logo</t>
  </si>
  <si>
    <t>Don't remember / Don’t recall</t>
  </si>
  <si>
    <t>1006+9999</t>
  </si>
  <si>
    <t>1003+1014+1041+1049+1058</t>
  </si>
  <si>
    <t>1024+1085+1101</t>
  </si>
  <si>
    <t>1007+1010+1115</t>
  </si>
  <si>
    <t>1009+1023+1051+1046+1059+1084+1087</t>
  </si>
  <si>
    <t>1012+1045</t>
  </si>
  <si>
    <t>1017+1029+1105</t>
  </si>
  <si>
    <t>1025+1043+1047</t>
  </si>
  <si>
    <t>1032+1033+1037+1038+1040+1048+1056+1067+1068+1078+1079+1076+1080+1081+1086+1095+1102+1103+1104+1107+1108+1120+1121</t>
  </si>
  <si>
    <t>1088+1090</t>
  </si>
  <si>
    <t>1001+1008+1016+1019+1020+1026+1027+1028+1030+1034+1035+1036+1039+1053+1054+1055+1057+1060+1074+1075+1077+1097+1098+1109+1110+1111+1112+1114</t>
  </si>
  <si>
    <t>1005+1011+1015+1022+1042+1044+1052+1061+1062+1063+1065+1066+1091+1093+1094+1096+1083+1099+1100+1113+1117+1118+1106</t>
  </si>
  <si>
    <t>&lt;G1B&gt;</t>
  </si>
  <si>
    <t>&lt;G1E&gt;</t>
  </si>
  <si>
    <t>&lt;G2B&gt;&lt;G1P&gt;</t>
  </si>
  <si>
    <t>&lt;G2E&gt;&lt;G1P&gt;</t>
  </si>
  <si>
    <t>&lt;G1P&gt;</t>
  </si>
  <si>
    <t>Rank</t>
  </si>
  <si>
    <t>LevelUp</t>
  </si>
  <si>
    <t>LevelDown</t>
  </si>
  <si>
    <t>RankLabel</t>
  </si>
  <si>
    <t>&lt;G2P&gt;&lt;G1P&gt;</t>
  </si>
  <si>
    <t>&lt;G3B&gt;&lt;G2P&gt;&lt;G1P&gt;</t>
  </si>
  <si>
    <t>&lt;G3E&gt;&lt;G2P&gt;&lt;G1P&gt;</t>
  </si>
  <si>
    <t>&lt;G4B&gt;&lt;G3P&gt;&lt;G2P&gt;&lt;G1P&gt;</t>
  </si>
  <si>
    <t>&lt;G4E&gt;&lt;G3P&gt;&lt;G2P&gt;&lt;G1P&gt;</t>
  </si>
  <si>
    <t>&lt;G3P&gt;&lt;G2P&gt;&lt;G1P&gt;</t>
  </si>
  <si>
    <t>RawCode</t>
  </si>
  <si>
    <t>NetType</t>
  </si>
  <si>
    <t>Indention</t>
  </si>
  <si>
    <t>RawStub</t>
  </si>
  <si>
    <t>StubWithRank</t>
  </si>
  <si>
    <t>CABLE (NET)</t>
  </si>
  <si>
    <t>Cignal</t>
  </si>
  <si>
    <t>Cable / Kapamilya</t>
  </si>
  <si>
    <t>1021+1022+1024</t>
  </si>
  <si>
    <t>Paying bill thru gcash</t>
  </si>
  <si>
    <t>promotion</t>
  </si>
  <si>
    <t>Gcash reliable for everyone</t>
  </si>
  <si>
    <t>Ewallet to meme Vice</t>
  </si>
  <si>
    <t>With their QR Code you can join to their games on it's showtime</t>
  </si>
  <si>
    <t>By donating to the needy, you send to Gcash</t>
  </si>
  <si>
    <t>Host endorse Gcash</t>
  </si>
  <si>
    <t>Scam</t>
  </si>
  <si>
    <t>Promote Gcash how to use</t>
  </si>
  <si>
    <t>Use Gcash to send money</t>
  </si>
  <si>
    <t>About Gcash</t>
  </si>
  <si>
    <t>Many are helped</t>
  </si>
  <si>
    <t>Ginvest</t>
  </si>
  <si>
    <t>Someone won in Gcash</t>
  </si>
  <si>
    <t>Money</t>
  </si>
  <si>
    <t>Ivana introduce Gcash in their anniversary</t>
  </si>
  <si>
    <t>Gives money in Gcash or prizes</t>
  </si>
  <si>
    <t>Loan given</t>
  </si>
  <si>
    <t>Give investment for seniors</t>
  </si>
  <si>
    <t>It's like scatter on Gcash in IT’S SHOW TIME</t>
  </si>
  <si>
    <t>Promotion in Gcash Gloan</t>
  </si>
  <si>
    <t>You can loan in Gcash</t>
  </si>
  <si>
    <t>IT's SHOW TIME sponsor ads</t>
  </si>
  <si>
    <t>Vice Ganda said it's quick to pay bills with Gcash</t>
  </si>
  <si>
    <t>"SUYOD SUGOD" of Vice Ganda</t>
  </si>
  <si>
    <t>Vice Ganda gave money to my friend in gcash</t>
  </si>
  <si>
    <t>Can loan incase of emergency</t>
  </si>
  <si>
    <t>People dashing to the Barangay giving prices</t>
  </si>
  <si>
    <t>No comments</t>
  </si>
  <si>
    <t>Can't recall</t>
  </si>
  <si>
    <t>I can’t recall</t>
  </si>
  <si>
    <r>
      <t>99+</t>
    </r>
    <r>
      <rPr>
        <sz val="11"/>
        <color rgb="FF00B050"/>
        <rFont val="Arial"/>
        <family val="2"/>
      </rPr>
      <t>9997</t>
    </r>
  </si>
  <si>
    <t>Don’t Know</t>
  </si>
  <si>
    <t>Tiktok</t>
  </si>
  <si>
    <t>Load</t>
  </si>
  <si>
    <t>Luneta</t>
  </si>
  <si>
    <t>Colgate</t>
  </si>
  <si>
    <t>Nescafe</t>
  </si>
  <si>
    <t>Bags</t>
  </si>
  <si>
    <t>Shampoo</t>
  </si>
  <si>
    <t>Celphone brand</t>
  </si>
  <si>
    <t>YouTube</t>
  </si>
  <si>
    <t>E-Wallet</t>
  </si>
  <si>
    <t>Gadget</t>
  </si>
  <si>
    <t>lazada</t>
  </si>
  <si>
    <t>Bank</t>
  </si>
  <si>
    <t>Brand ng cp</t>
  </si>
  <si>
    <t>Online Work</t>
  </si>
  <si>
    <t>Internet</t>
  </si>
  <si>
    <t>PNB</t>
  </si>
  <si>
    <t>Paypal</t>
  </si>
  <si>
    <t>Globe</t>
  </si>
  <si>
    <t>ShopeePay</t>
  </si>
  <si>
    <t>BDO</t>
  </si>
  <si>
    <t>BPI</t>
  </si>
  <si>
    <t>PayMaya/Maya</t>
  </si>
  <si>
    <t xml:space="preserve">GCash </t>
  </si>
  <si>
    <t>1021+1022+1023+1024+1026+1027+1028+1031+1032+1033+1034+1035+1036+1037+1038+1039+1040+1041+1042</t>
  </si>
  <si>
    <t>About Gloan</t>
  </si>
  <si>
    <t>I haven't seen it yet because I don't watch showtime</t>
  </si>
  <si>
    <t>Gcash</t>
  </si>
  <si>
    <t>Gcash Loan</t>
  </si>
  <si>
    <t>Gloan you can barrow from Gcash</t>
  </si>
  <si>
    <t>Loan</t>
  </si>
  <si>
    <t>Quick loan transaction</t>
  </si>
  <si>
    <t>Providing assistance to selected beneficiaries</t>
  </si>
  <si>
    <t>About Gloan of Gcash</t>
  </si>
  <si>
    <t>No Comments</t>
  </si>
  <si>
    <t>Ads while browsing internet/Website ads (excluding social media) (Please specify site)</t>
  </si>
  <si>
    <t xml:space="preserve">Company Website (Official Website)       </t>
  </si>
  <si>
    <t xml:space="preserve">Events    </t>
  </si>
  <si>
    <t xml:space="preserve">Family/relatives       </t>
  </si>
  <si>
    <r>
      <t>6</t>
    </r>
    <r>
      <rPr>
        <sz val="11"/>
        <color rgb="FF00B050"/>
        <rFont val="Arial"/>
        <family val="2"/>
      </rPr>
      <t>+1033</t>
    </r>
  </si>
  <si>
    <t xml:space="preserve">Friends/colleagues       </t>
  </si>
  <si>
    <t xml:space="preserve">Online articles (blogs, reviews, news) </t>
  </si>
  <si>
    <r>
      <t>13</t>
    </r>
    <r>
      <rPr>
        <sz val="11"/>
        <color rgb="FF00B050"/>
        <rFont val="Arial"/>
        <family val="2"/>
      </rPr>
      <t>+1025</t>
    </r>
  </si>
  <si>
    <t>Facebook Fanpage</t>
  </si>
  <si>
    <t xml:space="preserve">Twitter (including ads)  </t>
  </si>
  <si>
    <t xml:space="preserve">Instagram (including ads)  </t>
  </si>
  <si>
    <r>
      <t>16</t>
    </r>
    <r>
      <rPr>
        <sz val="11"/>
        <color rgb="FF00B050"/>
        <rFont val="Arial"/>
        <family val="2"/>
      </rPr>
      <t>+1031</t>
    </r>
  </si>
  <si>
    <t xml:space="preserve">YouTube (including ads) </t>
  </si>
  <si>
    <r>
      <t>17</t>
    </r>
    <r>
      <rPr>
        <sz val="11"/>
        <color rgb="FF00B050"/>
        <rFont val="Arial"/>
        <family val="2"/>
      </rPr>
      <t>+1029</t>
    </r>
  </si>
  <si>
    <t>TikTok (including ads)</t>
  </si>
  <si>
    <t>OOH</t>
  </si>
  <si>
    <t>Influencers</t>
  </si>
  <si>
    <r>
      <t>20</t>
    </r>
    <r>
      <rPr>
        <sz val="11"/>
        <color rgb="FF00B050"/>
        <rFont val="Arial"/>
        <family val="2"/>
      </rPr>
      <t>+1034</t>
    </r>
  </si>
  <si>
    <t>Radio/Radio Commercials</t>
  </si>
  <si>
    <t>TV COMMERCIAL</t>
  </si>
  <si>
    <t>Mall ads</t>
  </si>
  <si>
    <t>Sari - sari store</t>
  </si>
  <si>
    <t>Radio</t>
  </si>
  <si>
    <t>Cellphone</t>
  </si>
  <si>
    <t>E-WALLET APP (NET)</t>
  </si>
  <si>
    <t xml:space="preserve">Online videos (including ads) </t>
  </si>
  <si>
    <t xml:space="preserve">Social media (including ads) (NET) (HIDE) </t>
  </si>
  <si>
    <t>Facebook (including ads) (HIDE)</t>
  </si>
  <si>
    <t>Facebook Post</t>
  </si>
  <si>
    <t xml:space="preserve">GCash Application </t>
  </si>
  <si>
    <t>1010+1011</t>
  </si>
  <si>
    <t>GCash</t>
  </si>
  <si>
    <t>OTHER ONLINE (NET)</t>
  </si>
  <si>
    <t>Puretuber</t>
  </si>
  <si>
    <t>Google</t>
  </si>
  <si>
    <t>Tablet</t>
  </si>
  <si>
    <t>Website</t>
  </si>
  <si>
    <t>Cant recall</t>
  </si>
  <si>
    <t>8+10+11+12+1008+1010+1011</t>
  </si>
  <si>
    <t>1026+1027+1028+1030</t>
  </si>
  <si>
    <t>1032+1035</t>
  </si>
  <si>
    <t>CAN USE GCASH ANYWHERE/ANYTIME (NET)</t>
  </si>
  <si>
    <t>Can use GCash anywhere</t>
  </si>
  <si>
    <t>2001+2017</t>
  </si>
  <si>
    <t>Can buy load via GCash even while in-transit</t>
  </si>
  <si>
    <t>GCash is reliable anywhere</t>
  </si>
  <si>
    <t>Can buy load anywhere/anytime</t>
  </si>
  <si>
    <t>Can buy load on GCash anytime/anywhere</t>
  </si>
  <si>
    <t>Can use anytime anywhere</t>
  </si>
  <si>
    <t>Can load using GCash wherever you are</t>
  </si>
  <si>
    <t>Anywhere or anytime you can load with GCash</t>
  </si>
  <si>
    <t>GCash is anywhere</t>
  </si>
  <si>
    <t>Can access GCash anywhere</t>
  </si>
  <si>
    <t>Many are using GCash</t>
  </si>
  <si>
    <t>EASE OF ACCESS (NET)</t>
  </si>
  <si>
    <t>Easy access</t>
  </si>
  <si>
    <t>Can be use in any online transaction</t>
  </si>
  <si>
    <t>HAPPY (NET)</t>
  </si>
  <si>
    <t>2008+2042</t>
  </si>
  <si>
    <t>Happy</t>
  </si>
  <si>
    <t>Happy because of GCash</t>
  </si>
  <si>
    <t>Happy family</t>
  </si>
  <si>
    <t>BUY LOAD VIA GCASH (NET)</t>
  </si>
  <si>
    <t>Need to buy load</t>
  </si>
  <si>
    <t>Can buy load via GCash</t>
  </si>
  <si>
    <t>Buy load</t>
  </si>
  <si>
    <t>Easier to buy load via GCash</t>
  </si>
  <si>
    <t>Can buy load while in-transit</t>
  </si>
  <si>
    <t>About load</t>
  </si>
  <si>
    <t>Emergency load</t>
  </si>
  <si>
    <t>GCash load</t>
  </si>
  <si>
    <t>Load online</t>
  </si>
  <si>
    <t>Load thru GCash app</t>
  </si>
  <si>
    <t>Can share load</t>
  </si>
  <si>
    <t>Group loading can be done with GCash</t>
  </si>
  <si>
    <t>Can buy load even you are at home</t>
  </si>
  <si>
    <t>PLAYING ONLINE GAMES (NET)</t>
  </si>
  <si>
    <t>Can play games using GCash load</t>
  </si>
  <si>
    <t>Games</t>
  </si>
  <si>
    <t>Can be used for gaming</t>
  </si>
  <si>
    <t>GCash load streaming</t>
  </si>
  <si>
    <t>GCash load gaming</t>
  </si>
  <si>
    <t>LOAD SERVICE FEE (NET)</t>
  </si>
  <si>
    <t>Load via GCash because there is no fee</t>
  </si>
  <si>
    <t>No high transaction fee</t>
  </si>
  <si>
    <t>BONDING OF FRIENDS/FAMILY  (NET)</t>
  </si>
  <si>
    <t>Group friends</t>
  </si>
  <si>
    <t>A lot of people like it</t>
  </si>
  <si>
    <t>Bonding of friends with GCash</t>
  </si>
  <si>
    <t>Because of GCash there is happy bonding</t>
  </si>
  <si>
    <t>They are happy with what they are doing</t>
  </si>
  <si>
    <t>Family is together and online games</t>
  </si>
  <si>
    <t>Bonding</t>
  </si>
  <si>
    <t>Bonding with friends</t>
  </si>
  <si>
    <t>Complete family</t>
  </si>
  <si>
    <t>Can connect family anywhere</t>
  </si>
  <si>
    <t>Group hug</t>
  </si>
  <si>
    <t>Family can communicate using load form GCash</t>
  </si>
  <si>
    <t>Group of friends on a vehicle receiving GCash</t>
  </si>
  <si>
    <t>Friends sharing load thru GCash</t>
  </si>
  <si>
    <t>Having a good relationship</t>
  </si>
  <si>
    <t>Enjoying</t>
  </si>
  <si>
    <t>Group of friends in online</t>
  </si>
  <si>
    <t>United</t>
  </si>
  <si>
    <t>GCash is for the whole family</t>
  </si>
  <si>
    <t>For the family</t>
  </si>
  <si>
    <t>Bonding of family with GCash</t>
  </si>
  <si>
    <t>CONNECTING WITH FAMILY/FRIENDS THROUGH GCASH (NET)</t>
  </si>
  <si>
    <t>Connecting family thru GCash</t>
  </si>
  <si>
    <t>Connecting thru GCash</t>
  </si>
  <si>
    <t>Even families are far from each other they are still connected</t>
  </si>
  <si>
    <t>Easy connection to friends</t>
  </si>
  <si>
    <t>Easy to pay</t>
  </si>
  <si>
    <t>Pay bills</t>
  </si>
  <si>
    <t>Showing how easy payments are on GCash</t>
  </si>
  <si>
    <t>More convenient</t>
  </si>
  <si>
    <t>Convenient since no need to go to the stores to buy load</t>
  </si>
  <si>
    <t>Comfortable to load on GCash</t>
  </si>
  <si>
    <t>Apps is convenient to use</t>
  </si>
  <si>
    <t>Convenient to load online</t>
  </si>
  <si>
    <t>Convenient to use</t>
  </si>
  <si>
    <t>User-friendly</t>
  </si>
  <si>
    <t>GCash is convenient to use</t>
  </si>
  <si>
    <t>Install GCash app for easy transactions</t>
  </si>
  <si>
    <t>GCASH IS RELIABLE (NET)</t>
  </si>
  <si>
    <t>GCash is reliable</t>
  </si>
  <si>
    <t>Reliable anywhere you go</t>
  </si>
  <si>
    <t>GCash is reliable anytime</t>
  </si>
  <si>
    <t>EASE OF USE (NET)</t>
  </si>
  <si>
    <t xml:space="preserve">Easy to use </t>
  </si>
  <si>
    <t>Can easily buy load</t>
  </si>
  <si>
    <t>Easy to buy load via GCash</t>
  </si>
  <si>
    <t>Easy to use for all transactions</t>
  </si>
  <si>
    <t>Easy transaction</t>
  </si>
  <si>
    <t>GCash has easy transactions</t>
  </si>
  <si>
    <t>Useful</t>
  </si>
  <si>
    <t>Easy</t>
  </si>
  <si>
    <t>No hassle</t>
  </si>
  <si>
    <t>Easy to use GCash</t>
  </si>
  <si>
    <t>Easy to do transactions online</t>
  </si>
  <si>
    <t>Can easily do transactions in our lives everyday</t>
  </si>
  <si>
    <t>Showing how easy to use</t>
  </si>
  <si>
    <t>Easy to load</t>
  </si>
  <si>
    <t>Faster transactions</t>
  </si>
  <si>
    <t>2011+2014</t>
  </si>
  <si>
    <t>Quick to load via GCash</t>
  </si>
  <si>
    <t>Faster transactions in GCash</t>
  </si>
  <si>
    <t>Fast transactions to buy load</t>
  </si>
  <si>
    <t>Can buy load faster</t>
  </si>
  <si>
    <t>Fast to any transactions</t>
  </si>
  <si>
    <t>Can rely for fast transactions in case of emergency</t>
  </si>
  <si>
    <t>Fast sending money using GCash</t>
  </si>
  <si>
    <t>For everyone</t>
  </si>
  <si>
    <t>Can load using any network</t>
  </si>
  <si>
    <t>GCASH PROMOTION (NET)</t>
  </si>
  <si>
    <t>For awareness to use GCash</t>
  </si>
  <si>
    <t>GCash features</t>
  </si>
  <si>
    <t>Encourage to use GCash</t>
  </si>
  <si>
    <t>To understand more about GCash and how accessible it is</t>
  </si>
  <si>
    <t>Nice promo ad</t>
  </si>
  <si>
    <t>Excited on GCash offer</t>
  </si>
  <si>
    <t>Use GCash wisely</t>
  </si>
  <si>
    <t>TRUST (NET)</t>
  </si>
  <si>
    <t>GCash can be trusted</t>
  </si>
  <si>
    <t>Money is safe in GCash</t>
  </si>
  <si>
    <t>Can save money</t>
  </si>
  <si>
    <t>Cannot understand the ad</t>
  </si>
  <si>
    <t>This is awesome</t>
  </si>
  <si>
    <t>Can transfer money using GCash</t>
  </si>
  <si>
    <t>No need cash</t>
  </si>
  <si>
    <t>It's cheaper to buy load in GCash</t>
  </si>
  <si>
    <t>You won't get hung up on watching anymore</t>
  </si>
  <si>
    <t>So you won't run out of load</t>
  </si>
  <si>
    <t>GCash is a big help</t>
  </si>
  <si>
    <t>It's okay</t>
  </si>
  <si>
    <t>Hug</t>
  </si>
  <si>
    <t>Install</t>
  </si>
  <si>
    <t>Nice</t>
  </si>
  <si>
    <t>"May kaya"</t>
  </si>
  <si>
    <t>Someone being afraid</t>
  </si>
  <si>
    <t>Missing someone</t>
  </si>
  <si>
    <t>Helping easch other</t>
  </si>
  <si>
    <t>In shock</t>
  </si>
  <si>
    <t>Playing</t>
  </si>
  <si>
    <t>In shock because of GCash</t>
  </si>
  <si>
    <t>Enjoyed using e-wallet</t>
  </si>
  <si>
    <t>No comment</t>
  </si>
  <si>
    <t>No idea</t>
  </si>
  <si>
    <t>2000+2001+2017+2002+2003+2061+2063+2081+2082+2084+2056+2104</t>
  </si>
  <si>
    <t>2004+2096</t>
  </si>
  <si>
    <t>2008+2042+2107+2108</t>
  </si>
  <si>
    <t>2013+2015+2016+2018+2019+2052+2055+2076+2078+2087+2088+2132+2139+2141</t>
  </si>
  <si>
    <t>2020+2021+2022+2102+2103</t>
  </si>
  <si>
    <t>2023+2095</t>
  </si>
  <si>
    <t>2024+2025+2026+2027+2028+2044+2045+2046+2047+2049+2051+2060+2100+2101+2113+2120+2123+2124+2128+2129+2130</t>
  </si>
  <si>
    <t>2065+2066+2122+2143</t>
  </si>
  <si>
    <t>2029+2048+2125</t>
  </si>
  <si>
    <t>2030+2031+2064+2067+2069+2070+2071+2072+2073+2094+2032+2086+2089</t>
  </si>
  <si>
    <t>2033+2034+2035+2036+2005+2058+2068+2074+2075+2091+2105+2106+2098+2140</t>
  </si>
  <si>
    <t>2009+2010+2011+2014+2012+2053+2062+2077+2109+2138</t>
  </si>
  <si>
    <t>2037+2083</t>
  </si>
  <si>
    <t>2038+2039+2040+2041+2099+2121+2135+2050</t>
  </si>
  <si>
    <t>2043+2114+2134+2136+2137+2142+2144+2145+2146</t>
  </si>
  <si>
    <t>2054+2079+2093+2097+2110+2111+2115+2116+2117+2118+2119+2126</t>
  </si>
  <si>
    <r>
      <t>6+</t>
    </r>
    <r>
      <rPr>
        <sz val="11"/>
        <color rgb="FF00B050"/>
        <rFont val="Arial"/>
        <family val="2"/>
      </rPr>
      <t>1034</t>
    </r>
  </si>
  <si>
    <r>
      <t>10+</t>
    </r>
    <r>
      <rPr>
        <sz val="11"/>
        <color rgb="FF00B050"/>
        <rFont val="Arial"/>
        <family val="2"/>
      </rPr>
      <t>1026</t>
    </r>
  </si>
  <si>
    <r>
      <t>11+</t>
    </r>
    <r>
      <rPr>
        <sz val="11"/>
        <color rgb="FF00B050"/>
        <rFont val="Arial"/>
        <family val="2"/>
      </rPr>
      <t>2003+1035</t>
    </r>
  </si>
  <si>
    <r>
      <t>16+</t>
    </r>
    <r>
      <rPr>
        <sz val="11"/>
        <color rgb="FF00B050"/>
        <rFont val="Arial"/>
        <family val="2"/>
      </rPr>
      <t>2004+1025</t>
    </r>
  </si>
  <si>
    <r>
      <t>17+</t>
    </r>
    <r>
      <rPr>
        <sz val="11"/>
        <color rgb="FF00B050"/>
        <rFont val="Arial"/>
        <family val="2"/>
      </rPr>
      <t>1031+2007</t>
    </r>
  </si>
  <si>
    <r>
      <t>18+</t>
    </r>
    <r>
      <rPr>
        <sz val="11"/>
        <color rgb="FF00B050"/>
        <rFont val="Arial"/>
        <family val="2"/>
      </rPr>
      <t>1030</t>
    </r>
  </si>
  <si>
    <t>Out-of-Home (OOH) (e.g., billboards and posters)</t>
  </si>
  <si>
    <r>
      <t>20</t>
    </r>
    <r>
      <rPr>
        <sz val="11"/>
        <color rgb="FF00B050"/>
        <rFont val="Arial"/>
        <family val="2"/>
      </rPr>
      <t>+1020+2005</t>
    </r>
  </si>
  <si>
    <t>App Stores</t>
  </si>
  <si>
    <t>ADS WHILE BROWSING INTERNET/WEBSITE ADS (EXCLUDING SOCIAL MEDIA) (NET)</t>
  </si>
  <si>
    <t>Gcash App</t>
  </si>
  <si>
    <t>On app</t>
  </si>
  <si>
    <t>Google ads</t>
  </si>
  <si>
    <t>Avon Outlet</t>
  </si>
  <si>
    <t>Watson</t>
  </si>
  <si>
    <t>1023+1028</t>
  </si>
  <si>
    <t>2001+2002+2006</t>
  </si>
  <si>
    <t>1021+1022+1024+1027+1029+1032+1033</t>
  </si>
  <si>
    <t>FOR ONLINE GAMING (NET)</t>
  </si>
  <si>
    <t>Can use GCash for online games</t>
  </si>
  <si>
    <t>Playing online games using GCash</t>
  </si>
  <si>
    <t>Online games</t>
  </si>
  <si>
    <t>More comfortable to use the load for gaming</t>
  </si>
  <si>
    <t>Playing games</t>
  </si>
  <si>
    <t>Playing online games</t>
  </si>
  <si>
    <t>Can buy load for online gaming</t>
  </si>
  <si>
    <t>Happy playing online game</t>
  </si>
  <si>
    <t>Playing during break</t>
  </si>
  <si>
    <t>Playing on cellphone</t>
  </si>
  <si>
    <t>Playing online games on cellphone</t>
  </si>
  <si>
    <t>More convenient to use because you don't need to go out any more</t>
  </si>
  <si>
    <t>Convenient to use GCash</t>
  </si>
  <si>
    <t>No need to wait on long queue in loading</t>
  </si>
  <si>
    <t>BONDING OF FRIENDS/FAMILY (NET)</t>
  </si>
  <si>
    <t>They are happy to use GCash</t>
  </si>
  <si>
    <t>A lot of people like it because they enjoyed it</t>
  </si>
  <si>
    <t>They are happy and amazed from what they saw in GCash</t>
  </si>
  <si>
    <t>2108+2156</t>
  </si>
  <si>
    <t>The young people are happy</t>
  </si>
  <si>
    <t>The "barkada" is happy when there is GCash</t>
  </si>
  <si>
    <t>Friends are using GCash</t>
  </si>
  <si>
    <t>Family are happy together</t>
  </si>
  <si>
    <t>People are happy having conversation</t>
  </si>
  <si>
    <t>Happy "barkada" bonding</t>
  </si>
  <si>
    <t>Group of people are enjoing</t>
  </si>
  <si>
    <t>Enjoy on what they are doing</t>
  </si>
  <si>
    <t>The whole family using GCash</t>
  </si>
  <si>
    <t>Familly bonding</t>
  </si>
  <si>
    <t xml:space="preserve">It's nice because its for the family and for young people </t>
  </si>
  <si>
    <t>CAN LOAD OTHER PEOPLE (NET)</t>
  </si>
  <si>
    <t>Can send load to other members of the family</t>
  </si>
  <si>
    <t>Can send load to other people using the GCash app</t>
  </si>
  <si>
    <t>Can send load to my friends using GCash</t>
  </si>
  <si>
    <t>Friends can bond using GCash</t>
  </si>
  <si>
    <t>It is possible to load a group</t>
  </si>
  <si>
    <t>Can load at the same time</t>
  </si>
  <si>
    <t>Can load to your own GCash</t>
  </si>
  <si>
    <t>SAVE MONEY (NET)</t>
  </si>
  <si>
    <t>Can save money using GCash</t>
  </si>
  <si>
    <t>Can use GCash to buy load</t>
  </si>
  <si>
    <t>Buy load for gaming</t>
  </si>
  <si>
    <t>Buying load online</t>
  </si>
  <si>
    <t>Can load on Gcash when you run out of load</t>
  </si>
  <si>
    <t>Family can load usign GCash</t>
  </si>
  <si>
    <t>Emergency load using GCash</t>
  </si>
  <si>
    <t>Can load any network using GCash</t>
  </si>
  <si>
    <t>It's worth it to load on GCash</t>
  </si>
  <si>
    <t>RECEIVE MONEY (NET)</t>
  </si>
  <si>
    <t>Able to receive money</t>
  </si>
  <si>
    <t>SEND MONEY (NET)</t>
  </si>
  <si>
    <t>Send money</t>
  </si>
  <si>
    <t>SPEED OF TRANSACTION (NET)</t>
  </si>
  <si>
    <t>Fast to load via GCash</t>
  </si>
  <si>
    <t>Fast to buy load</t>
  </si>
  <si>
    <t>ACCESSIBILITY (NET)</t>
  </si>
  <si>
    <t>2123+2142</t>
  </si>
  <si>
    <t>Ease of access</t>
  </si>
  <si>
    <t>QUICK PAYMENT (NET)</t>
  </si>
  <si>
    <t>Payment can be made quickly</t>
  </si>
  <si>
    <t>Payment for load</t>
  </si>
  <si>
    <t>EASY TO LOAD (NET)</t>
  </si>
  <si>
    <t>Easy to load using GCash app</t>
  </si>
  <si>
    <t>Easy to buy load using GCash</t>
  </si>
  <si>
    <t>Buying load is made easier</t>
  </si>
  <si>
    <t>Easy to navigate</t>
  </si>
  <si>
    <t>Easy to receive load on GCash</t>
  </si>
  <si>
    <t>Easy processing</t>
  </si>
  <si>
    <t>No hassle to load</t>
  </si>
  <si>
    <t>There is always a load</t>
  </si>
  <si>
    <t>You won't have to go out to load</t>
  </si>
  <si>
    <t>Buy load anytime anywhere</t>
  </si>
  <si>
    <t>Fast transaction anytime anywhere</t>
  </si>
  <si>
    <t>GCash is everywhere</t>
  </si>
  <si>
    <t>Load using Gcash anytime, anywhere</t>
  </si>
  <si>
    <t>GCash on online transaction</t>
  </si>
  <si>
    <t>RELIABILITY (NET)</t>
  </si>
  <si>
    <t>Reliable to use GCash</t>
  </si>
  <si>
    <t>GCash is reliable on loading</t>
  </si>
  <si>
    <t>ABOUT GCASH (NET)</t>
  </si>
  <si>
    <t>Encouraging people to use GCash</t>
  </si>
  <si>
    <t>Advertising GCash</t>
  </si>
  <si>
    <t>Amazing</t>
  </si>
  <si>
    <t>Need load</t>
  </si>
  <si>
    <t>Dancing</t>
  </si>
  <si>
    <t>Using Tiktok</t>
  </si>
  <si>
    <t>Good offer</t>
  </si>
  <si>
    <t>So that the load will not be wasted</t>
  </si>
  <si>
    <t>No extra charge</t>
  </si>
  <si>
    <t>The extra service fee is small</t>
  </si>
  <si>
    <t>It shows that GCash helps us everyday use like load</t>
  </si>
  <si>
    <t>AD is okay</t>
  </si>
  <si>
    <t>Enjoy</t>
  </si>
  <si>
    <t>Fun</t>
  </si>
  <si>
    <t>Games/Gaming</t>
  </si>
  <si>
    <t>Not needed</t>
  </si>
  <si>
    <t>Picture taken</t>
  </si>
  <si>
    <t>Having salary</t>
  </si>
  <si>
    <t>They are shocked</t>
  </si>
  <si>
    <t>9996+9995</t>
  </si>
  <si>
    <t>2100+2101+2102+2103+2185+2186+2187+2172+2147+2148+2164+2165</t>
  </si>
  <si>
    <t>2104+2140+2163</t>
  </si>
  <si>
    <t>2105+2106+2107+2108+2156+2109+2110+2111+2161+2173+2174+2176+2177+2183+2158+2170</t>
  </si>
  <si>
    <t>2112+2113+2114+2115+2190+2191+2195</t>
  </si>
  <si>
    <t>2117+2118+2119+2152+2166+2180+2181+2188+2144+2145+2169+2198</t>
  </si>
  <si>
    <t>2121+2122+2167</t>
  </si>
  <si>
    <t>2124+2125</t>
  </si>
  <si>
    <t>2126+2127+2128+2129+2130+2141+2143+2151+2168+2192+2193+2196</t>
  </si>
  <si>
    <t>2131+2132+2133+2171+2159</t>
  </si>
  <si>
    <t>2149+2150</t>
  </si>
  <si>
    <t>2178+2179</t>
  </si>
  <si>
    <t>2134+2135+2136+2137+2160+2189+2194+2197+2199+2200</t>
  </si>
  <si>
    <t>2146+2153+2154+2155+2157+2162+2184+2175+2182</t>
  </si>
  <si>
    <t>CAN LOAN IN GCASH (NET)</t>
  </si>
  <si>
    <t>Loan offer from GCash</t>
  </si>
  <si>
    <t>Can loan via GCash</t>
  </si>
  <si>
    <t>2202+2281</t>
  </si>
  <si>
    <t>Encouraging people to loan from GCash</t>
  </si>
  <si>
    <t>If you need money, GCash can help</t>
  </si>
  <si>
    <t>Can barrow money from Gcash app</t>
  </si>
  <si>
    <t>Can get a large loan according to your needs</t>
  </si>
  <si>
    <t>Can loan from GCash for any amount</t>
  </si>
  <si>
    <t>CAN LOAN FROM GCASH FOR BIG TICKET ITEMS (NET)</t>
  </si>
  <si>
    <t>Can loan from GCash to buy a new table</t>
  </si>
  <si>
    <t>Can loan for house construction</t>
  </si>
  <si>
    <t>Was able to buy a rice cooker because of Gloan</t>
  </si>
  <si>
    <t>Can loan from GCash when needed to replace broken appliances</t>
  </si>
  <si>
    <t>Easy to replace broken appliances</t>
  </si>
  <si>
    <t>Can buy new appliances through GLoan</t>
  </si>
  <si>
    <t>CAN LOAN FROM GCASH IN TIMES OF EMERGENCY (NET)</t>
  </si>
  <si>
    <t>Can loan from GCash in times of emergency</t>
  </si>
  <si>
    <t>GCash is a reliable brand in times of sudden problems</t>
  </si>
  <si>
    <t>GCash is a reliable brand in times of emergency</t>
  </si>
  <si>
    <t>Can get loan in times of emergency</t>
  </si>
  <si>
    <t>A LOT OF EXPENSES (NET)</t>
  </si>
  <si>
    <t>There are a lot of expenses</t>
  </si>
  <si>
    <t>RELIABLE BRAND WHEN NEEDED A LOAN (NET)</t>
  </si>
  <si>
    <t>Reminds me that I can rely to GCash when I need a loan</t>
  </si>
  <si>
    <t>Reliable on loan</t>
  </si>
  <si>
    <t>Reliable in time of need of money</t>
  </si>
  <si>
    <t>GCash is reliable for expenses</t>
  </si>
  <si>
    <t>GGIVES (NET)</t>
  </si>
  <si>
    <t>Ease of access and load through GGives</t>
  </si>
  <si>
    <t>MENTIONS OF GLOAN (NET)</t>
  </si>
  <si>
    <t>GLoan</t>
  </si>
  <si>
    <t>Can loan via GLoan</t>
  </si>
  <si>
    <t>Use GLoan</t>
  </si>
  <si>
    <t>GLoan on GCash</t>
  </si>
  <si>
    <t>GLoan on barrowing money from GCash</t>
  </si>
  <si>
    <t>Can loan on GLoan for all expenses</t>
  </si>
  <si>
    <t>Can loan cash using GLoan</t>
  </si>
  <si>
    <t>Can loan on GCash using GLoan</t>
  </si>
  <si>
    <t>Theres is Gloan in times of need</t>
  </si>
  <si>
    <t>GLoan helps with financial matters</t>
  </si>
  <si>
    <t>Instant loan on GLoan from GCash</t>
  </si>
  <si>
    <t>Multiple home expense can loan via GLoan</t>
  </si>
  <si>
    <t>Mutiple paying bills can loan via GLoan</t>
  </si>
  <si>
    <t>Multiple expenses can loan via GLoan</t>
  </si>
  <si>
    <t>Avail GLoan</t>
  </si>
  <si>
    <t>Gloan is easy to use</t>
  </si>
  <si>
    <t>MENTIONS OF TAGLINE (NET)</t>
  </si>
  <si>
    <t>"Kaya today with Gloan"</t>
  </si>
  <si>
    <t>CAN LOAN FROM GCASH TO AUGMENT INCOME &amp; FOR EXPENSES (NET)</t>
  </si>
  <si>
    <t>Can loan via GCash to settle all my expenses</t>
  </si>
  <si>
    <t>Can help in paying bills</t>
  </si>
  <si>
    <t>GCash to help in expenses</t>
  </si>
  <si>
    <t>CAN GET LOAN FAST FROM GCASH (NET)</t>
  </si>
  <si>
    <t>Can get loan fast from GCash</t>
  </si>
  <si>
    <t>Fast approval of loan</t>
  </si>
  <si>
    <t>LOW INTEREST (NET)</t>
  </si>
  <si>
    <t>Can loan with loan with low interest</t>
  </si>
  <si>
    <t>FAST PROCESSING OF LOAN (NET)</t>
  </si>
  <si>
    <t>Fast processing of loan</t>
  </si>
  <si>
    <t>Fast processing of loan from GLoan</t>
  </si>
  <si>
    <t>EASE OF PROCESSING (NET)</t>
  </si>
  <si>
    <t>Easy to process</t>
  </si>
  <si>
    <t>Easy to get loan on GCash</t>
  </si>
  <si>
    <t>Easy to get loan</t>
  </si>
  <si>
    <t>Easy to save</t>
  </si>
  <si>
    <t>Easy to get loan with GCash on GLoan</t>
  </si>
  <si>
    <t>Easy to barrow money using GLoan</t>
  </si>
  <si>
    <t>Easy to get loan in GLoan</t>
  </si>
  <si>
    <t>GLoan is easy to access on GCash</t>
  </si>
  <si>
    <t>Accessible</t>
  </si>
  <si>
    <t>Can use anywhere</t>
  </si>
  <si>
    <t>Easy payment</t>
  </si>
  <si>
    <t>More convenient to use</t>
  </si>
  <si>
    <t>Safe</t>
  </si>
  <si>
    <t>CAN LOAN ANYTIME (NET)</t>
  </si>
  <si>
    <t>Can loan anytime</t>
  </si>
  <si>
    <t>Can get loan if needed</t>
  </si>
  <si>
    <t>DOCUMENTARY REQUIREMENTS (NET)</t>
  </si>
  <si>
    <t>No need for ID or documents</t>
  </si>
  <si>
    <t>ABOUT LOAN (NET)</t>
  </si>
  <si>
    <t>About loan</t>
  </si>
  <si>
    <t>Can get loan</t>
  </si>
  <si>
    <t>CAN LOAN "SABAY SABAY" (NET)</t>
  </si>
  <si>
    <t>Can loan from GCash "sabay sabay"</t>
  </si>
  <si>
    <t>"Sabay sabay" all expenses Gcash Gloan can handle it</t>
  </si>
  <si>
    <t>Expenses are coming "Sabay sabay"</t>
  </si>
  <si>
    <t>"Sabay sabay" but it can be paid immediately</t>
  </si>
  <si>
    <t>GLoan for Protection</t>
  </si>
  <si>
    <t>It seems that the mother having problems</t>
  </si>
  <si>
    <t>Can help in everything</t>
  </si>
  <si>
    <t>About funds</t>
  </si>
  <si>
    <t>GCash to the rescue</t>
  </si>
  <si>
    <t>Can use GCash for your home expenses</t>
  </si>
  <si>
    <t>GLoan for instant access to cash</t>
  </si>
  <si>
    <t>School loan</t>
  </si>
  <si>
    <t>Can pay with gcash loan</t>
  </si>
  <si>
    <t>GCash can make your life better</t>
  </si>
  <si>
    <t>Download GCash app to make it easier to give money</t>
  </si>
  <si>
    <t>GCash is good</t>
  </si>
  <si>
    <t>Be alert in everything</t>
  </si>
  <si>
    <t>Easy to get all your basic needs</t>
  </si>
  <si>
    <t>Good</t>
  </si>
  <si>
    <t>It's nice</t>
  </si>
  <si>
    <t>Can loan up to 100%</t>
  </si>
  <si>
    <t>2200+2201+2202+2281+2203+2237+2270+2274</t>
  </si>
  <si>
    <t>2204+2205+2206+2207+2208+2209</t>
  </si>
  <si>
    <t>2215+2241+2243+2285</t>
  </si>
  <si>
    <t>2222+2240</t>
  </si>
  <si>
    <t>2224+2234+2269</t>
  </si>
  <si>
    <t>2226+2247</t>
  </si>
  <si>
    <t>2228+2236</t>
  </si>
  <si>
    <t>2229+2258+2259+2260</t>
  </si>
  <si>
    <t>CAN LOAN VIA GCASH (NET)</t>
  </si>
  <si>
    <t>GCash can help you because you can loan from the brand</t>
  </si>
  <si>
    <t>Can loan from GCash</t>
  </si>
  <si>
    <t>Can loan on GCash if you need something</t>
  </si>
  <si>
    <t>Can barrow money from Gcash</t>
  </si>
  <si>
    <t>Can loan from GCash for your paying bills</t>
  </si>
  <si>
    <t>GCASH IS A RELIABLE BRAND (NET)</t>
  </si>
  <si>
    <t>No need to worry because you can rely in GCash loan</t>
  </si>
  <si>
    <t>GCash is reliable for loaning</t>
  </si>
  <si>
    <t>No need to worry because there is already GLoan on GCash</t>
  </si>
  <si>
    <t>GCash is reliable in times of emergency</t>
  </si>
  <si>
    <t>Gcash is reliable on online transactions</t>
  </si>
  <si>
    <t>Gcash is reliable in times of need</t>
  </si>
  <si>
    <t>Can rely financially</t>
  </si>
  <si>
    <t>Reliable on expenses</t>
  </si>
  <si>
    <t>LOAN TO AUGMENT INCOME AND DAILY EXPENSES (NET)</t>
  </si>
  <si>
    <t>Loan to pay for expenses</t>
  </si>
  <si>
    <t>GCash is reliable when we have multiple expenses</t>
  </si>
  <si>
    <t>GLoan can be used for my needs</t>
  </si>
  <si>
    <t>Can get loan on GCash to pay all expenses</t>
  </si>
  <si>
    <t>ABLE TO HELP FINISH STUDIES WITH THE HELP OF GLOAN (NET)</t>
  </si>
  <si>
    <t>Her son was able to finish studies with the help of GLoan</t>
  </si>
  <si>
    <t>CAN USE GLOAN ANYTIME (NET)</t>
  </si>
  <si>
    <t>Can use GLoan anytime</t>
  </si>
  <si>
    <t>Can loan from GCash anytime</t>
  </si>
  <si>
    <t>ABOUT GCASH PRODUCTS (NET)</t>
  </si>
  <si>
    <t>GCash has good products</t>
  </si>
  <si>
    <t>Awesome</t>
  </si>
  <si>
    <t>GCash is good in eveything</t>
  </si>
  <si>
    <t>CAN LOAN FOR GRADUATION/SCHOOL EXPENSES (NET)</t>
  </si>
  <si>
    <t>Can loan to use for graduation</t>
  </si>
  <si>
    <t>Can loan for school expenses</t>
  </si>
  <si>
    <t>Can loan from GCash for school expenses</t>
  </si>
  <si>
    <t>Can be used for school expenses</t>
  </si>
  <si>
    <t>Can loan from GCash to pay for tuition fee</t>
  </si>
  <si>
    <t>Can loan from GCash to graduate in school</t>
  </si>
  <si>
    <t>Can be use to pay graduation fee using GLoan</t>
  </si>
  <si>
    <t>Can loan to pay for tuition fee</t>
  </si>
  <si>
    <t>CAN LOAN IN TIMES OF EMERGENCY (NET)</t>
  </si>
  <si>
    <t>Can loan in times of emergency</t>
  </si>
  <si>
    <t>Can loan in times of need</t>
  </si>
  <si>
    <t>Gcash can help in sudden expenses</t>
  </si>
  <si>
    <t>Can loan on GCash in case of emergency</t>
  </si>
  <si>
    <t>Can loan</t>
  </si>
  <si>
    <t>Loan availability at GCash</t>
  </si>
  <si>
    <t>Can loan online</t>
  </si>
  <si>
    <t>MENTIONS OF GCREDIT (NET)</t>
  </si>
  <si>
    <t>Has Gcredit</t>
  </si>
  <si>
    <t>GLoan if you have financial problems</t>
  </si>
  <si>
    <t>GLoan instant loan</t>
  </si>
  <si>
    <t>When spending expenses at the same time you can GLoan</t>
  </si>
  <si>
    <t>Fast GLoan for sudden expenses</t>
  </si>
  <si>
    <t>Need funds use GLoan</t>
  </si>
  <si>
    <t>Can loan up to 50K on GLoan</t>
  </si>
  <si>
    <t>Even if the fees are stacked, Gcash is there</t>
  </si>
  <si>
    <t>Gloan in Gcash is reliable especially in times of need</t>
  </si>
  <si>
    <t>CAN USE GCASH FOR PAYMENT (NET)</t>
  </si>
  <si>
    <t>Can use GCash for payment anywhere</t>
  </si>
  <si>
    <t>Fast Payment</t>
  </si>
  <si>
    <t>MAKES LIFE EASIER (NET)</t>
  </si>
  <si>
    <t>Like the ad because it makes life easier</t>
  </si>
  <si>
    <t>Use GCash to make everyday life easier</t>
  </si>
  <si>
    <t>GCash makes transactions easier</t>
  </si>
  <si>
    <t>Easy to loan on GCash</t>
  </si>
  <si>
    <t>Easy to use in anu occasion</t>
  </si>
  <si>
    <t>Easy to loan</t>
  </si>
  <si>
    <t>Easy way to loan</t>
  </si>
  <si>
    <t>Easy way in case of emergency</t>
  </si>
  <si>
    <t>Easy to pay using GCash</t>
  </si>
  <si>
    <t>Easy to transfer money</t>
  </si>
  <si>
    <t>Easy to cash-out</t>
  </si>
  <si>
    <t>Save money</t>
  </si>
  <si>
    <t>The advertisement is not so catchy</t>
  </si>
  <si>
    <t>There is GCash</t>
  </si>
  <si>
    <t>My child can use it</t>
  </si>
  <si>
    <t>The video and the pictures are different</t>
  </si>
  <si>
    <t>With GCash protection</t>
  </si>
  <si>
    <t>For the future of the children</t>
  </si>
  <si>
    <t>Can be use anywhere</t>
  </si>
  <si>
    <t>Low interest</t>
  </si>
  <si>
    <t>Can avail services such as educational loans</t>
  </si>
  <si>
    <t>Endorse at GCash</t>
  </si>
  <si>
    <t>In GCash you are safe</t>
  </si>
  <si>
    <t>Secured celebrating important events</t>
  </si>
  <si>
    <t>Can loan from GCash for your home expenses</t>
  </si>
  <si>
    <t>Interesting</t>
  </si>
  <si>
    <t>Good inspiration to parents and children</t>
  </si>
  <si>
    <t>Will help business</t>
  </si>
  <si>
    <t>Can be trusted on paying bills</t>
  </si>
  <si>
    <t>2308+2309+2310</t>
  </si>
  <si>
    <t>2314+2315+2347</t>
  </si>
  <si>
    <t>2316+2317+2318+2319+2320+2349+2367+2376</t>
  </si>
  <si>
    <t>2321+2352+2370+2375</t>
  </si>
  <si>
    <t>2324+2380</t>
  </si>
  <si>
    <t>2345+2348+2359+2360+2361+2362+2363+2364+2371+2379+2381+2399</t>
  </si>
  <si>
    <t>2342+2343</t>
  </si>
  <si>
    <t>GCASH MENTIONS (NET)</t>
  </si>
  <si>
    <t>GCash stories</t>
  </si>
  <si>
    <t>GCash is important</t>
  </si>
  <si>
    <t>GCash has different kind of services</t>
  </si>
  <si>
    <t>Gcash advertise</t>
  </si>
  <si>
    <t>Gcash for athlete's</t>
  </si>
  <si>
    <t>Gcash saving</t>
  </si>
  <si>
    <t>Happy with gcash</t>
  </si>
  <si>
    <t>PINOY ATHLETES (NET)</t>
  </si>
  <si>
    <t>GCash also helps the Pinoy athletes</t>
  </si>
  <si>
    <t>Pinoy athletes</t>
  </si>
  <si>
    <t>Support the athletes</t>
  </si>
  <si>
    <t>About the Olympics</t>
  </si>
  <si>
    <t>To support the athletes</t>
  </si>
  <si>
    <t>Dream of being athletes</t>
  </si>
  <si>
    <t>Yulo is not for basketball anymore, can have milyons for just doing summersault</t>
  </si>
  <si>
    <t>Athletes with dissability</t>
  </si>
  <si>
    <t>Even with a disability can be an athlete</t>
  </si>
  <si>
    <t>BUY LOAD VIA GCASH TO DONWLOAD MOVIES (NET)</t>
  </si>
  <si>
    <t>Can pay via GCash to download/ avail movies</t>
  </si>
  <si>
    <t>CAN USE GCASH ANYWHERE IN THE WORLD (NET)</t>
  </si>
  <si>
    <t>You can use GCash anywhere in the world</t>
  </si>
  <si>
    <t>Be persistent to achieve your goals together with GCash</t>
  </si>
  <si>
    <t>GIVES HOPE (NET)</t>
  </si>
  <si>
    <t>Do not lose hope because GCash is reliable</t>
  </si>
  <si>
    <t>Do not lose hope</t>
  </si>
  <si>
    <t>Send money fast</t>
  </si>
  <si>
    <t>EASE OF TRANSACTION (NET)</t>
  </si>
  <si>
    <t>For ease of transaction</t>
  </si>
  <si>
    <t>Good transaction</t>
  </si>
  <si>
    <t>Many transactions in gcash</t>
  </si>
  <si>
    <t>GCash is reliable in times of need and emergencies</t>
  </si>
  <si>
    <t>Do not give up, GCash is with you in your journey to success</t>
  </si>
  <si>
    <t>RESILIENCE (NET)</t>
  </si>
  <si>
    <t>Trust yourself that you can overcome any challenges</t>
  </si>
  <si>
    <t>Gives inspiration to the youth not to give up on their dreams</t>
  </si>
  <si>
    <t>Do not give up</t>
  </si>
  <si>
    <t>Disability is not a barrier for success</t>
  </si>
  <si>
    <t>EMPOWERMENT/ INSPIRATION (NET)</t>
  </si>
  <si>
    <t>Gives inspiration to all those with disabilities</t>
  </si>
  <si>
    <t>Gcash is supporting people with dissability</t>
  </si>
  <si>
    <t>Even with a disability he was able to follow and bring joy and happiness to people</t>
  </si>
  <si>
    <t>Even with disabilities they help</t>
  </si>
  <si>
    <t>Even with disabilities they can win</t>
  </si>
  <si>
    <t>Even with disabilities nothing imposible</t>
  </si>
  <si>
    <t>SEND ONLINE (NET)</t>
  </si>
  <si>
    <t>Can send online</t>
  </si>
  <si>
    <t>Good performance</t>
  </si>
  <si>
    <t>About gymnastic</t>
  </si>
  <si>
    <t>Show that GCash has good services</t>
  </si>
  <si>
    <t>About donation using gcash for transfer</t>
  </si>
  <si>
    <t>About sa gloan</t>
  </si>
  <si>
    <t>Gcash is for everyone</t>
  </si>
  <si>
    <t>Gcash should be used in a good way</t>
  </si>
  <si>
    <t>Gcash helps people who need help</t>
  </si>
  <si>
    <t>Using QR code to buy</t>
  </si>
  <si>
    <t>Courage</t>
  </si>
  <si>
    <t>Self determination</t>
  </si>
  <si>
    <t>Gcash helped a lot</t>
  </si>
  <si>
    <t xml:space="preserve">Gcash can't be used by children </t>
  </si>
  <si>
    <t>Financial</t>
  </si>
  <si>
    <t>Fund raising to help aspiring atheletes with disabilities</t>
  </si>
  <si>
    <t>Immittate to succeed</t>
  </si>
  <si>
    <t>You can do it whatever it is</t>
  </si>
  <si>
    <t>Even with disabilities they can used gcash for payment</t>
  </si>
  <si>
    <t>EVEN IF THEY ARE DISABLED, YOU CAN HELP USING GCASH</t>
  </si>
  <si>
    <t>Even with disabilities they can used gcash</t>
  </si>
  <si>
    <t>PWD's story</t>
  </si>
  <si>
    <t>Fight for the future using c gcash</t>
  </si>
  <si>
    <t>Everything is in gcash</t>
  </si>
  <si>
    <t>There may be improvement</t>
  </si>
  <si>
    <t>It's easy to reach out for help with gcash</t>
  </si>
  <si>
    <t>It is nice</t>
  </si>
  <si>
    <t>Send to gcash if you want to help</t>
  </si>
  <si>
    <t>Just trust gcash</t>
  </si>
  <si>
    <t>Many gcash users</t>
  </si>
  <si>
    <t>Gcash help with people with dissabilities</t>
  </si>
  <si>
    <t>No need to get outside if you have gcash</t>
  </si>
  <si>
    <t>Unity and cooperation</t>
  </si>
  <si>
    <t>Introduction to our country</t>
  </si>
  <si>
    <t>For sports</t>
  </si>
  <si>
    <t>Showing that they are happy</t>
  </si>
  <si>
    <t>PWD</t>
  </si>
  <si>
    <t>You can help using gcash</t>
  </si>
  <si>
    <t>With gcash life is good</t>
  </si>
  <si>
    <t>Gcash has goals</t>
  </si>
  <si>
    <t>Gcash can use anytime</t>
  </si>
  <si>
    <t>Use Gcash to help those more in need</t>
  </si>
  <si>
    <t>Which can be done in a way with proper unity</t>
  </si>
  <si>
    <t>Always update on event</t>
  </si>
  <si>
    <t>Cant say</t>
  </si>
  <si>
    <t>1014+1015</t>
  </si>
  <si>
    <t>1016+1070</t>
  </si>
  <si>
    <t>GCASH IS RELIABLE WHEN IN NEED FOR A LOAN (NET)</t>
  </si>
  <si>
    <t>In times of need or emergencies, you can rely on GCash for a loan</t>
  </si>
  <si>
    <t>You won’t run out of water anymore because you can borrow money from GCash using GCredit</t>
  </si>
  <si>
    <t>CAN BORROW FROM GCASH TO PAY BILLS (NET)</t>
  </si>
  <si>
    <t>Can use GCash loan to pay bills</t>
  </si>
  <si>
    <t>Need to borrow from GCash to pay water bills</t>
  </si>
  <si>
    <t>Can borrow from GCredit  to pay for water bills</t>
  </si>
  <si>
    <t>Can borrow money from GCredit to pay for bills</t>
  </si>
  <si>
    <t>Can borrow from GCredit to pay for electricity bills</t>
  </si>
  <si>
    <t>To pay for electricity you use GLoan</t>
  </si>
  <si>
    <t>To pay for water you use GLoan</t>
  </si>
  <si>
    <t>Had a water line cut and they used GCash for Credit</t>
  </si>
  <si>
    <t>GCREDIT (NET)</t>
  </si>
  <si>
    <t>Can borrow money from GCash using GCredit</t>
  </si>
  <si>
    <t>Can use GCredit any time</t>
  </si>
  <si>
    <t>GCredit</t>
  </si>
  <si>
    <t>In GCredit</t>
  </si>
  <si>
    <t>Borrow in GCredit</t>
  </si>
  <si>
    <t>GCredit is easy to borrow when there is an emergency</t>
  </si>
  <si>
    <t>GCredit can be used with GCash</t>
  </si>
  <si>
    <t>GCredit can borrow cash</t>
  </si>
  <si>
    <t>Gives GCredit</t>
  </si>
  <si>
    <t>GCredit is easy with GCash</t>
  </si>
  <si>
    <t>In times of need, borrow from GCredit</t>
  </si>
  <si>
    <t>Today Gcredit</t>
  </si>
  <si>
    <t>GLOAN (NET)</t>
  </si>
  <si>
    <t>Gloan Credit</t>
  </si>
  <si>
    <t>Gloan Credit in Gcash</t>
  </si>
  <si>
    <t>Gloan Water bill</t>
  </si>
  <si>
    <t>Gloan easy to use for payment bills</t>
  </si>
  <si>
    <t>Instant Credit line by Gloan</t>
  </si>
  <si>
    <t>Gloan to Gcash</t>
  </si>
  <si>
    <t>INSTANT LOANS FROM GCASH (NET)</t>
  </si>
  <si>
    <t>Can borrow instantly from GCash</t>
  </si>
  <si>
    <t>Instant loan from GCredit</t>
  </si>
  <si>
    <t>Credits in GCash</t>
  </si>
  <si>
    <t>GCash loan</t>
  </si>
  <si>
    <t>Instant Credit line</t>
  </si>
  <si>
    <t>Fast process</t>
  </si>
  <si>
    <t>Borrow Gcash in Credit line</t>
  </si>
  <si>
    <t>GCASH IS RELIABLE  (NET)</t>
  </si>
  <si>
    <t>GCash is always reliable</t>
  </si>
  <si>
    <t>Relialable use of everyone</t>
  </si>
  <si>
    <t>GCREDIT IS RELIABLE  (NET)</t>
  </si>
  <si>
    <t>GCredit is always reliable</t>
  </si>
  <si>
    <t>It's easier to pay for electricity</t>
  </si>
  <si>
    <t>No need to go outside</t>
  </si>
  <si>
    <t>Gcash is very convenient</t>
  </si>
  <si>
    <t>BORROW FROM GCASH (NET)</t>
  </si>
  <si>
    <t>In times of need, borrow from GCash</t>
  </si>
  <si>
    <t>Can borrow from GCash</t>
  </si>
  <si>
    <t>Fast transaction using Gcredit</t>
  </si>
  <si>
    <t>CAN LOAN WHEN IN NEED OF CASH (NET)</t>
  </si>
  <si>
    <t>Can loan when in need of cash</t>
  </si>
  <si>
    <t>In times of need for house expenses , GCash has loan offer</t>
  </si>
  <si>
    <t>Can borrow 1k to 50k with a GCash loan Credit loan to pay house bills</t>
  </si>
  <si>
    <t>Offering GCredit in times of needed</t>
  </si>
  <si>
    <t>Borrow from GCash to not be cut off</t>
  </si>
  <si>
    <t>Can pay via GCash</t>
  </si>
  <si>
    <t>HUMOR/ COMEDY (NET)</t>
  </si>
  <si>
    <t>Commercial is amusing, taking a bath using only a cup</t>
  </si>
  <si>
    <t>Saving water, so only using a cup take a bath</t>
  </si>
  <si>
    <t>CAN BORROW MONEY FROM GCASH (NET)</t>
  </si>
  <si>
    <t>Can credit on GCash</t>
  </si>
  <si>
    <t>Receive GCash loan</t>
  </si>
  <si>
    <t>CAN HELP FOR DAILY EXPENSES (NET)</t>
  </si>
  <si>
    <t>Helps for everyday expenses</t>
  </si>
  <si>
    <t>It's easier to pay GCash with Credit</t>
  </si>
  <si>
    <t>Solve the problem about money</t>
  </si>
  <si>
    <t>Save water</t>
  </si>
  <si>
    <t>Ran out of water</t>
  </si>
  <si>
    <t>Can used Credit for payment</t>
  </si>
  <si>
    <t xml:space="preserve">You can have a loan even if you don’t have money for paymnet </t>
  </si>
  <si>
    <t>Can be used on bills</t>
  </si>
  <si>
    <t>If budget is short there is a solution</t>
  </si>
  <si>
    <t>Easy to budget because of Gloan</t>
  </si>
  <si>
    <t>Can borrow money</t>
  </si>
  <si>
    <t>Help if we neded</t>
  </si>
  <si>
    <t>Gcash flexible payments are multiple uses</t>
  </si>
  <si>
    <t>Gcash's loan helps with finances</t>
  </si>
  <si>
    <t>Making it easier to meet demand</t>
  </si>
  <si>
    <t>Can get a loan with the online app of Gcash</t>
  </si>
  <si>
    <t>Can borrow to pay the water bill or electric bill</t>
  </si>
  <si>
    <t xml:space="preserve">We can't deny the fact that we can get anything we want </t>
  </si>
  <si>
    <t>GCredit always available</t>
  </si>
  <si>
    <t>GCredit can be paid at the supermarket</t>
  </si>
  <si>
    <t>No need to be thrifty</t>
  </si>
  <si>
    <t>"Maluho"</t>
  </si>
  <si>
    <t>Tight budget</t>
  </si>
  <si>
    <t>No Idea</t>
  </si>
  <si>
    <t>1001+1002</t>
  </si>
  <si>
    <t>1003+1004+1005+1006+1036+1056+1057+1053</t>
  </si>
  <si>
    <t>1007+1010+1011+1025+1026+1028+1031+1034+1050+1032+1035+1074</t>
  </si>
  <si>
    <t>1067+1068+1069+1070+1071+1072+1081</t>
  </si>
  <si>
    <t>1012+1013+1027+1029+1039+1043+1061+1063</t>
  </si>
  <si>
    <t>1014+1075</t>
  </si>
  <si>
    <t>1015+1045+1046+1091</t>
  </si>
  <si>
    <t>1016+1017</t>
  </si>
  <si>
    <t>1018+1042+1033+1077</t>
  </si>
  <si>
    <t>1019+1040+1041+1049+1058+1062</t>
  </si>
  <si>
    <t>1021+1022</t>
  </si>
  <si>
    <t>1038+1052</t>
  </si>
  <si>
    <t>1044+1048+1051+1054+1059+1060+1064+1073+1076+1078+1079+1080+1082+1084+1085+1086+1087+1088+1089+1090</t>
  </si>
  <si>
    <t>1023+1024+1055+1065+1083</t>
  </si>
  <si>
    <t>BORROW MONEY FROM GCASH IN TIMES OF NEED (NET)</t>
  </si>
  <si>
    <t>Can borrow money from GCash in times of need</t>
  </si>
  <si>
    <t>GCash can help in time of emergency</t>
  </si>
  <si>
    <t>GCredit for emergency</t>
  </si>
  <si>
    <t>You can avail by a GLoan when your out of money</t>
  </si>
  <si>
    <t>If cash runs out there is GCash that can be borrowed</t>
  </si>
  <si>
    <t>GCREDIT CAN BE USED ANYWHERE (NET)</t>
  </si>
  <si>
    <t>GCredit can be used anywhere</t>
  </si>
  <si>
    <t>With GCash there are many things you can do like GCredit</t>
  </si>
  <si>
    <t>HUMOR/COMEDY (NET)</t>
  </si>
  <si>
    <t>Borrowed money from GCash because there is no ingredients to cook for food</t>
  </si>
  <si>
    <t>INSTANT LOAN VIA GCREDIT (NET)</t>
  </si>
  <si>
    <t>Instant loan via GCredit</t>
  </si>
  <si>
    <t>Today with Gcredit</t>
  </si>
  <si>
    <t>CAN BORROW MONEY (NET)</t>
  </si>
  <si>
    <t>BORROW MONEY FROM GCASH FOR GROCERY EXPENSES (NET)</t>
  </si>
  <si>
    <t>Can borrow money from GCash for grocery expenses</t>
  </si>
  <si>
    <t>Can be used for payment at grocery</t>
  </si>
  <si>
    <t>If there is lack of  ingredients  at home get a loan in GGives</t>
  </si>
  <si>
    <t>GCash is helpful</t>
  </si>
  <si>
    <t>GCREDIT IS RELIABLE (NET)</t>
  </si>
  <si>
    <t>LOAN AMOUNT (NET)</t>
  </si>
  <si>
    <t>Can borrow money from GCash using GCredit for grocery expenses from Php1,000 to Php500k</t>
  </si>
  <si>
    <t>Can borrow money from GCash for grocery expenses from Php1,000 to Php500k</t>
  </si>
  <si>
    <t>Can borrow up to 50k from gcredit</t>
  </si>
  <si>
    <t>LOAN FROM GCASH (NET)</t>
  </si>
  <si>
    <t>Can borrow money from GCash</t>
  </si>
  <si>
    <t>CAN BORROW FROM GCASH FOR DAILY EXPENSES (NET)</t>
  </si>
  <si>
    <t>Can borrow from GCash for daily expenses</t>
  </si>
  <si>
    <t>CONVENIENT(NET)</t>
  </si>
  <si>
    <t>Gcash is convenient for emergency</t>
  </si>
  <si>
    <t>CAN BORROW MONEY FOR GROCERY EXPENSES (NET)</t>
  </si>
  <si>
    <t>Can borrow money fro grocery expenses</t>
  </si>
  <si>
    <t>His friend suggested that he take a loan to solve his cooking problem</t>
  </si>
  <si>
    <t>Can borrow money from GCash using GCredit for grocery expenses</t>
  </si>
  <si>
    <t>Can borrow money from GCredit in times of need</t>
  </si>
  <si>
    <t>About GCredit</t>
  </si>
  <si>
    <t>GCredit has in GCash</t>
  </si>
  <si>
    <t>Can borrow from GCredit in case lack of money for ingredients</t>
  </si>
  <si>
    <t>Gcredit can be used to buy anything</t>
  </si>
  <si>
    <t>Gcredit can be purchased at any store</t>
  </si>
  <si>
    <t>MENTIONS OF GCASH (NET)</t>
  </si>
  <si>
    <t>GCash Credit</t>
  </si>
  <si>
    <t>FAST/ QUICK LOANS FROM GCASH NET (NET)</t>
  </si>
  <si>
    <t>Fast loaning processing</t>
  </si>
  <si>
    <t>Quick loan</t>
  </si>
  <si>
    <t>With GCash it's instant money</t>
  </si>
  <si>
    <t>Instant Credit</t>
  </si>
  <si>
    <t>Instant Credit line borrow with GCash</t>
  </si>
  <si>
    <t>CAN BORROW MONEY FROM GCREDIT TO PAY FOR BILLS (NET)</t>
  </si>
  <si>
    <t>can borrow to pay for water using GCredit</t>
  </si>
  <si>
    <t>EASE OF GETTING A LOAN FROM GCASH (NET)</t>
  </si>
  <si>
    <t>Easy to get Credit in GCash</t>
  </si>
  <si>
    <t>EASE OF USING GCREDIT (NET)</t>
  </si>
  <si>
    <t>Easy to use GCredit</t>
  </si>
  <si>
    <t>FAST TRASACTION (NET)</t>
  </si>
  <si>
    <t>Can ba used for payment anywhere</t>
  </si>
  <si>
    <t>Can borrow from Gloan in case lack of money for ingredients</t>
  </si>
  <si>
    <t>CREDIT (NET)</t>
  </si>
  <si>
    <t>Credit Line</t>
  </si>
  <si>
    <t>Credit Loan</t>
  </si>
  <si>
    <t>Can borrow Gcredit from Gcash food allowance</t>
  </si>
  <si>
    <t>Cash Credit has instant limit</t>
  </si>
  <si>
    <t>I like ads</t>
  </si>
  <si>
    <t>Additional for budget</t>
  </si>
  <si>
    <t>Can buy even if you don’t have money</t>
  </si>
  <si>
    <t>All money problems can be solved with GCash</t>
  </si>
  <si>
    <t>Borrow from Gcash to start a business</t>
  </si>
  <si>
    <t>Grocery loan</t>
  </si>
  <si>
    <t>Can loan without hassle</t>
  </si>
  <si>
    <t>Give Idea</t>
  </si>
  <si>
    <t>Great</t>
  </si>
  <si>
    <t>Lack of information</t>
  </si>
  <si>
    <t>1001+1002+1025+1048+1046</t>
  </si>
  <si>
    <t>1003+1027</t>
  </si>
  <si>
    <t>1005+1068</t>
  </si>
  <si>
    <t>1007+1045+1049</t>
  </si>
  <si>
    <t>1008+1042</t>
  </si>
  <si>
    <t>1010+1011+1051</t>
  </si>
  <si>
    <t>1022+1054</t>
  </si>
  <si>
    <t>1014+1040</t>
  </si>
  <si>
    <t>1015+1016+1017+1020+1026+1041+1050+1058+1064+1065</t>
  </si>
  <si>
    <t>1018+1024+1057</t>
  </si>
  <si>
    <t>1035+1036</t>
  </si>
  <si>
    <t>1028+1032+1033</t>
  </si>
  <si>
    <t>1031+1059</t>
  </si>
  <si>
    <t>1055+1056+1063</t>
  </si>
  <si>
    <t>1021+1023+1047+1019+1034+1053+1062+1066</t>
  </si>
  <si>
    <t>1039+1043+1052+1060+1061+1067</t>
  </si>
  <si>
    <t>CAN GET A LOAN VIA GLOAN NET</t>
  </si>
  <si>
    <t>Can get a loan via GLOAN</t>
  </si>
  <si>
    <t>Encourage people to use GLoan</t>
  </si>
  <si>
    <t>CAN GET A LOAN  VIA GCREDIT NET</t>
  </si>
  <si>
    <t>Can get a loan via GCREDIT</t>
  </si>
  <si>
    <t>CAN GET A LOAN VIA GCASH NET</t>
  </si>
  <si>
    <t>Can get a loan via  GCash</t>
  </si>
  <si>
    <t>Can get a loan via  GCash in times of emergency</t>
  </si>
  <si>
    <t>EASY TO GET A LOAN  FROM GCASH NET</t>
  </si>
  <si>
    <t>Easy to get a loan via GCash</t>
  </si>
  <si>
    <t>Easy to get a loan via GLoan</t>
  </si>
  <si>
    <t>SAFETY AND SECURITY NET</t>
  </si>
  <si>
    <t>GCash is safe to use</t>
  </si>
  <si>
    <t>EASE OF USE NET</t>
  </si>
  <si>
    <t>GCash is easy to use</t>
  </si>
  <si>
    <t>BARANGAY GCASH NET</t>
  </si>
  <si>
    <t>They go to different barangays and give price using GCash</t>
  </si>
  <si>
    <t>Baranggay GCash</t>
  </si>
  <si>
    <t>BUY LOAD NET</t>
  </si>
  <si>
    <t xml:space="preserve">Can buy load using Gcash </t>
  </si>
  <si>
    <t>Can buy load  via GCash anytime and anywhere</t>
  </si>
  <si>
    <t>Can buy load  via GCash for all networks</t>
  </si>
  <si>
    <t>Quick to buy load via GCash</t>
  </si>
  <si>
    <t>Easy to load via GCash</t>
  </si>
  <si>
    <t>ABOUT GCASH NET</t>
  </si>
  <si>
    <t>CONVENIENCE NET</t>
  </si>
  <si>
    <t>Less hassle</t>
  </si>
  <si>
    <t>ABOUT LOANS NET</t>
  </si>
  <si>
    <t>Giving out loans</t>
  </si>
  <si>
    <t>ADVERTISING GCASH NET</t>
  </si>
  <si>
    <t>1001+1002+1003</t>
  </si>
  <si>
    <t>1005+1006</t>
  </si>
  <si>
    <t>1007+1008</t>
  </si>
  <si>
    <t>1011+1012</t>
  </si>
  <si>
    <t>1013+1014+1015+1016+1017</t>
  </si>
  <si>
    <t>1018+1019</t>
  </si>
  <si>
    <t>CASHLESS (NET)</t>
  </si>
  <si>
    <t>2013+2015+2016+2018+2019+2052+2055+2076+2078+2087+2088+2132+2139+2144+2145</t>
  </si>
  <si>
    <t>2023+2095+2142</t>
  </si>
  <si>
    <t>2030+2031+2064+2067+2069+2070+2071+2072+2073+2094+2141</t>
  </si>
  <si>
    <t>2032+2086+2089</t>
  </si>
  <si>
    <t>2043+2114+2134+2136+2146</t>
  </si>
  <si>
    <t>GAN GET INSTANT LOAN FROM GLOAN (NET)</t>
  </si>
  <si>
    <t>MENTIONS OF GCASH(NET)</t>
  </si>
  <si>
    <t>2210+2211+2212+2213+2248+2272</t>
  </si>
  <si>
    <t>2217+2218+2219+2235+2239+2253+2254+2255+2257+2280+2283</t>
  </si>
  <si>
    <t>2275+2273</t>
  </si>
  <si>
    <t>2221+2250+2256+2276+2277+2278+2265+2282+2290</t>
  </si>
  <si>
    <t>2225+2238+2244+2245+2246+2251+2252+2263+2266+2267+2268+2279+2289+2292</t>
  </si>
  <si>
    <t>2262+2264</t>
  </si>
  <si>
    <t>2233+2242+2249+2261+2271+2284+2287+2288</t>
  </si>
  <si>
    <t>2501+2502+2503+2504+2505+2286</t>
  </si>
  <si>
    <t>CAN LOAN FROM GCASH TO PAY BILLS NET (NET)</t>
  </si>
  <si>
    <t>Kaya today with Gloan</t>
  </si>
  <si>
    <t>CAN GET INSTANT LOAN IN GLOAN (NET)</t>
  </si>
  <si>
    <t>CAN GET A LOAN FROM GLOAN TO PAY FOR EXPENSES OR AUGMENT INCOME (NET)</t>
  </si>
  <si>
    <t>2300+2301+2353+2355+2389</t>
  </si>
  <si>
    <t>2302+2303+2346+2351+2354+2356+2357+2372+2378+2407</t>
  </si>
  <si>
    <t>2304+2305+2306+2369+2406</t>
  </si>
  <si>
    <t>2307+2392+2393</t>
  </si>
  <si>
    <t>2322+2344+2401</t>
  </si>
  <si>
    <t>2323+2329+2350+2385</t>
  </si>
  <si>
    <t>2386+2383</t>
  </si>
  <si>
    <t>2382+2384+2387+2400</t>
  </si>
  <si>
    <t>2325+2326+2388+2394+2391</t>
  </si>
  <si>
    <t>2327+2328+2340+2341+2365+2366+2368+2373+2374+2377+2403+2404+2405+2395</t>
  </si>
  <si>
    <t>2396+2397</t>
  </si>
  <si>
    <t>PINOY ATHLETES WITH DISABILITIES (NET)</t>
  </si>
  <si>
    <t>CAN DO ANY TRANSACTIONS WITH GCASH (NET)</t>
  </si>
  <si>
    <t>CONVENIENCE IN USING GCASH (NET)</t>
  </si>
  <si>
    <t>GCASH HAS A PURPOSE (NET)</t>
  </si>
  <si>
    <t>GCASH CAN BE USED ANYTIME (NET)</t>
  </si>
  <si>
    <t>1001+1002+1003+1004+1005+1031+1050+1051+1053+1056+1073+1075+1085</t>
  </si>
  <si>
    <t>1006+1007+1008+1009+1010+1035+1036+1054+1060+1048+1081+1083</t>
  </si>
  <si>
    <t>1013+1039+1058+1059+1064</t>
  </si>
  <si>
    <t>1017+1033+1034+1076</t>
  </si>
  <si>
    <t>1018+1019+1020+1021+1071</t>
  </si>
  <si>
    <t>1022+1023+1024+1025+1026+1043+1044+1057</t>
  </si>
  <si>
    <t>1027+1028+1052+1061+1062+1063+1065+1041+1045+1077+1067+1088+1079+1090</t>
  </si>
  <si>
    <t>1066+1084</t>
  </si>
  <si>
    <t>1029+1030+1032+1037+1038+1042+1069+1072+1080+1082+1092+1055</t>
  </si>
  <si>
    <t>1089+1040+1046+1047+1049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</si>
</sst>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1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1"/>
      <color theme="1"/>
      <name val="Arial"/>
      <family val="2"/>
    </font>
    <font>
      <b/>
      <sz val="11"/>
      <color rgb="FF00B050"/>
      <name val="Arial"/>
      <family val="2"/>
    </font>
    <font>
      <b/>
      <sz val="11"/>
      <name val="Arial"/>
      <family val="2"/>
    </font>
    <font>
      <b/>
      <sz val="11"/>
      <color rgb="FF000000"/>
      <name val="Arial"/>
      <family val="2"/>
    </font>
    <font>
      <b/>
      <sz val="12"/>
      <color rgb="FF000000"/>
      <name val="Arial"/>
      <family val="2"/>
    </font>
    <font>
      <sz val="11"/>
      <color theme="1"/>
      <name val="Arial"/>
      <family val="2"/>
    </font>
    <font>
      <u/>
      <sz val="10"/>
      <color theme="10"/>
      <name val="Arial"/>
      <family val="2"/>
    </font>
    <font>
      <sz val="11"/>
      <color rgb="FF000000"/>
      <name val="Aptos Narrow"/>
      <family val="2"/>
    </font>
    <font>
      <b/>
      <i/>
      <sz val="11"/>
      <color rgb="FFFFFFFF"/>
      <name val="Arial"/>
      <family val="2"/>
    </font>
    <font>
      <sz val="11"/>
      <name val="Arial"/>
      <family val="2"/>
    </font>
    <font>
      <sz val="10"/>
      <color rgb="FF000000"/>
      <name val="Arial"/>
      <family val="2"/>
    </font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name val="MS Sans Serif"/>
      <family val="2"/>
    </font>
    <font>
      <u/>
      <sz val="10"/>
      <color theme="10"/>
      <name val="MS Sans Serif"/>
      <family val="2"/>
    </font>
    <font>
      <b/>
      <sz val="18"/>
      <color theme="3"/>
      <name val="Aptos Display"/>
      <family val="2"/>
      <scheme val="major"/>
    </font>
    <font>
      <sz val="11"/>
      <color rgb="FF9C6500"/>
      <name val="Aptos Narrow"/>
      <family val="2"/>
      <scheme val="minor"/>
    </font>
    <font>
      <sz val="11"/>
      <name val="Calibri"/>
      <family val="2"/>
    </font>
    <font>
      <sz val="11"/>
      <color rgb="FF00B050"/>
      <name val="Arial"/>
      <family val="2"/>
    </font>
    <font>
      <sz val="11"/>
      <color rgb="FF0070C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rgb="FF000000"/>
      <name val="Arial"/>
      <family val="2"/>
    </font>
    <font>
      <sz val="10"/>
      <color rgb="FF000000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2F5496"/>
        <bgColor rgb="FF2F549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1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46">
    <xf numFmtId="0" fontId="0" fillId="0" borderId="0"/>
    <xf numFmtId="0" fontId="2" fillId="0" borderId="0"/>
    <xf numFmtId="0" fontId="3" fillId="0" borderId="0"/>
    <xf numFmtId="0" fontId="3" fillId="0" borderId="0"/>
    <xf numFmtId="0" fontId="10" fillId="0" borderId="0"/>
    <xf numFmtId="0" fontId="3" fillId="0" borderId="0"/>
    <xf numFmtId="0" fontId="11" fillId="0" borderId="0" applyNumberFormat="0" applyFill="0" applyBorder="0" applyAlignment="0" applyProtection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5" fillId="0" borderId="0"/>
    <xf numFmtId="0" fontId="2" fillId="0" borderId="0"/>
    <xf numFmtId="0" fontId="16" fillId="0" borderId="0"/>
    <xf numFmtId="0" fontId="16" fillId="0" borderId="0"/>
    <xf numFmtId="0" fontId="30" fillId="0" borderId="0"/>
    <xf numFmtId="0" fontId="2" fillId="0" borderId="0"/>
    <xf numFmtId="0" fontId="16" fillId="0" borderId="0"/>
    <xf numFmtId="0" fontId="2" fillId="0" borderId="0"/>
    <xf numFmtId="0" fontId="2" fillId="0" borderId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" fillId="22" borderId="0" applyNumberFormat="0" applyBorder="0" applyAlignment="0" applyProtection="0"/>
    <xf numFmtId="0" fontId="16" fillId="26" borderId="0" applyNumberFormat="0" applyBorder="0" applyAlignment="0" applyProtection="0"/>
    <xf numFmtId="0" fontId="16" fillId="30" borderId="0" applyNumberFormat="0" applyBorder="0" applyAlignment="0" applyProtection="0"/>
    <xf numFmtId="0" fontId="16" fillId="34" borderId="0" applyNumberFormat="0" applyBorder="0" applyAlignment="0" applyProtection="0"/>
    <xf numFmtId="0" fontId="16" fillId="38" borderId="0" applyNumberFormat="0" applyBorder="0" applyAlignment="0" applyProtection="0"/>
    <xf numFmtId="0" fontId="16" fillId="42" borderId="0" applyNumberFormat="0" applyBorder="0" applyAlignment="0" applyProtection="0"/>
    <xf numFmtId="0" fontId="16" fillId="23" borderId="0" applyNumberFormat="0" applyBorder="0" applyAlignment="0" applyProtection="0"/>
    <xf numFmtId="0" fontId="16" fillId="27" borderId="0" applyNumberFormat="0" applyBorder="0" applyAlignment="0" applyProtection="0"/>
    <xf numFmtId="0" fontId="16" fillId="31" borderId="0" applyNumberFormat="0" applyBorder="0" applyAlignment="0" applyProtection="0"/>
    <xf numFmtId="0" fontId="16" fillId="35" borderId="0" applyNumberFormat="0" applyBorder="0" applyAlignment="0" applyProtection="0"/>
    <xf numFmtId="0" fontId="16" fillId="39" borderId="0" applyNumberFormat="0" applyBorder="0" applyAlignment="0" applyProtection="0"/>
    <xf numFmtId="0" fontId="16" fillId="43" borderId="0" applyNumberFormat="0" applyBorder="0" applyAlignment="0" applyProtection="0"/>
    <xf numFmtId="0" fontId="29" fillId="24" borderId="0" applyNumberFormat="0" applyBorder="0" applyAlignment="0" applyProtection="0"/>
    <xf numFmtId="0" fontId="29" fillId="28" borderId="0" applyNumberFormat="0" applyBorder="0" applyAlignment="0" applyProtection="0"/>
    <xf numFmtId="0" fontId="29" fillId="32" borderId="0" applyNumberFormat="0" applyBorder="0" applyAlignment="0" applyProtection="0"/>
    <xf numFmtId="0" fontId="29" fillId="36" borderId="0" applyNumberFormat="0" applyBorder="0" applyAlignment="0" applyProtection="0"/>
    <xf numFmtId="0" fontId="29" fillId="40" borderId="0" applyNumberFormat="0" applyBorder="0" applyAlignment="0" applyProtection="0"/>
    <xf numFmtId="0" fontId="29" fillId="44" borderId="0" applyNumberFormat="0" applyBorder="0" applyAlignment="0" applyProtection="0"/>
    <xf numFmtId="0" fontId="29" fillId="21" borderId="0" applyNumberFormat="0" applyBorder="0" applyAlignment="0" applyProtection="0"/>
    <xf numFmtId="0" fontId="29" fillId="25" borderId="0" applyNumberFormat="0" applyBorder="0" applyAlignment="0" applyProtection="0"/>
    <xf numFmtId="0" fontId="29" fillId="29" borderId="0" applyNumberFormat="0" applyBorder="0" applyAlignment="0" applyProtection="0"/>
    <xf numFmtId="0" fontId="29" fillId="33" borderId="0" applyNumberFormat="0" applyBorder="0" applyAlignment="0" applyProtection="0"/>
    <xf numFmtId="0" fontId="29" fillId="37" borderId="0" applyNumberFormat="0" applyBorder="0" applyAlignment="0" applyProtection="0"/>
    <xf numFmtId="0" fontId="29" fillId="41" borderId="0" applyNumberFormat="0" applyBorder="0" applyAlignment="0" applyProtection="0"/>
    <xf numFmtId="0" fontId="21" fillId="15" borderId="0" applyNumberFormat="0" applyBorder="0" applyAlignment="0" applyProtection="0"/>
    <xf numFmtId="0" fontId="24" fillId="18" borderId="5" applyNumberFormat="0" applyAlignment="0" applyProtection="0"/>
    <xf numFmtId="0" fontId="26" fillId="19" borderId="8" applyNumberFormat="0" applyAlignment="0" applyProtection="0"/>
    <xf numFmtId="0" fontId="28" fillId="0" borderId="0" applyNumberFormat="0" applyFill="0" applyBorder="0" applyAlignment="0" applyProtection="0"/>
    <xf numFmtId="0" fontId="20" fillId="14" borderId="0" applyNumberFormat="0" applyBorder="0" applyAlignment="0" applyProtection="0"/>
    <xf numFmtId="0" fontId="17" fillId="0" borderId="2" applyNumberFormat="0" applyFill="0" applyAlignment="0" applyProtection="0"/>
    <xf numFmtId="0" fontId="18" fillId="0" borderId="3" applyNumberFormat="0" applyFill="0" applyAlignment="0" applyProtection="0"/>
    <xf numFmtId="0" fontId="19" fillId="0" borderId="4" applyNumberFormat="0" applyFill="0" applyAlignment="0" applyProtection="0"/>
    <xf numFmtId="0" fontId="19" fillId="0" borderId="0" applyNumberFormat="0" applyFill="0" applyBorder="0" applyAlignment="0" applyProtection="0"/>
    <xf numFmtId="0" fontId="22" fillId="17" borderId="5" applyNumberFormat="0" applyAlignment="0" applyProtection="0"/>
    <xf numFmtId="0" fontId="25" fillId="0" borderId="7" applyNumberFormat="0" applyFill="0" applyAlignment="0" applyProtection="0"/>
    <xf numFmtId="0" fontId="33" fillId="16" borderId="0" applyNumberFormat="0" applyBorder="0" applyAlignment="0" applyProtection="0"/>
    <xf numFmtId="0" fontId="16" fillId="0" borderId="0"/>
    <xf numFmtId="0" fontId="30" fillId="0" borderId="0"/>
    <xf numFmtId="0" fontId="16" fillId="20" borderId="9" applyNumberFormat="0" applyFont="0" applyAlignment="0" applyProtection="0"/>
    <xf numFmtId="0" fontId="23" fillId="18" borderId="6" applyNumberFormat="0" applyAlignment="0" applyProtection="0"/>
    <xf numFmtId="0" fontId="1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17" fillId="0" borderId="2" applyNumberFormat="0" applyFill="0" applyAlignment="0" applyProtection="0"/>
    <xf numFmtId="0" fontId="18" fillId="0" borderId="3" applyNumberFormat="0" applyFill="0" applyAlignment="0" applyProtection="0"/>
    <xf numFmtId="0" fontId="19" fillId="0" borderId="4" applyNumberFormat="0" applyFill="0" applyAlignment="0" applyProtection="0"/>
    <xf numFmtId="0" fontId="19" fillId="0" borderId="0" applyNumberFormat="0" applyFill="0" applyBorder="0" applyAlignment="0" applyProtection="0"/>
    <xf numFmtId="0" fontId="20" fillId="14" borderId="0" applyNumberFormat="0" applyBorder="0" applyAlignment="0" applyProtection="0"/>
    <xf numFmtId="0" fontId="21" fillId="15" borderId="0" applyNumberFormat="0" applyBorder="0" applyAlignment="0" applyProtection="0"/>
    <xf numFmtId="0" fontId="33" fillId="16" borderId="0" applyNumberFormat="0" applyBorder="0" applyAlignment="0" applyProtection="0"/>
    <xf numFmtId="0" fontId="22" fillId="17" borderId="5" applyNumberFormat="0" applyAlignment="0" applyProtection="0"/>
    <xf numFmtId="0" fontId="23" fillId="18" borderId="6" applyNumberFormat="0" applyAlignment="0" applyProtection="0"/>
    <xf numFmtId="0" fontId="24" fillId="18" borderId="5" applyNumberFormat="0" applyAlignment="0" applyProtection="0"/>
    <xf numFmtId="0" fontId="25" fillId="0" borderId="7" applyNumberFormat="0" applyFill="0" applyAlignment="0" applyProtection="0"/>
    <xf numFmtId="0" fontId="26" fillId="19" borderId="8" applyNumberFormat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" fillId="0" borderId="10" applyNumberFormat="0" applyFill="0" applyAlignment="0" applyProtection="0"/>
    <xf numFmtId="0" fontId="29" fillId="21" borderId="0" applyNumberFormat="0" applyBorder="0" applyAlignment="0" applyProtection="0"/>
    <xf numFmtId="0" fontId="16" fillId="22" borderId="0" applyNumberFormat="0" applyBorder="0" applyAlignment="0" applyProtection="0"/>
    <xf numFmtId="0" fontId="16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29" fillId="40" borderId="0" applyNumberFormat="0" applyBorder="0" applyAlignment="0" applyProtection="0"/>
    <xf numFmtId="0" fontId="29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29" fillId="44" borderId="0" applyNumberFormat="0" applyBorder="0" applyAlignment="0" applyProtection="0"/>
    <xf numFmtId="0" fontId="16" fillId="0" borderId="0"/>
    <xf numFmtId="0" fontId="16" fillId="20" borderId="9" applyNumberFormat="0" applyFont="0" applyAlignment="0" applyProtection="0"/>
    <xf numFmtId="0" fontId="16" fillId="0" borderId="0"/>
    <xf numFmtId="0" fontId="34" fillId="0" borderId="0"/>
    <xf numFmtId="0" fontId="2" fillId="0" borderId="0"/>
    <xf numFmtId="0" fontId="2" fillId="0" borderId="0"/>
    <xf numFmtId="0" fontId="16" fillId="0" borderId="0"/>
    <xf numFmtId="0" fontId="16" fillId="0" borderId="0"/>
    <xf numFmtId="0" fontId="16" fillId="0" borderId="0"/>
    <xf numFmtId="0" fontId="2" fillId="0" borderId="0"/>
    <xf numFmtId="0" fontId="2" fillId="0" borderId="0"/>
    <xf numFmtId="0" fontId="11" fillId="0" borderId="0" applyNumberFormat="0" applyFill="0" applyBorder="0" applyAlignment="0" applyProtection="0"/>
    <xf numFmtId="0" fontId="16" fillId="22" borderId="0" applyNumberFormat="0" applyBorder="0" applyAlignment="0" applyProtection="0"/>
    <xf numFmtId="0" fontId="16" fillId="26" borderId="0" applyNumberFormat="0" applyBorder="0" applyAlignment="0" applyProtection="0"/>
    <xf numFmtId="0" fontId="16" fillId="30" borderId="0" applyNumberFormat="0" applyBorder="0" applyAlignment="0" applyProtection="0"/>
    <xf numFmtId="0" fontId="16" fillId="34" borderId="0" applyNumberFormat="0" applyBorder="0" applyAlignment="0" applyProtection="0"/>
    <xf numFmtId="0" fontId="16" fillId="38" borderId="0" applyNumberFormat="0" applyBorder="0" applyAlignment="0" applyProtection="0"/>
    <xf numFmtId="0" fontId="16" fillId="42" borderId="0" applyNumberFormat="0" applyBorder="0" applyAlignment="0" applyProtection="0"/>
    <xf numFmtId="0" fontId="16" fillId="23" borderId="0" applyNumberFormat="0" applyBorder="0" applyAlignment="0" applyProtection="0"/>
    <xf numFmtId="0" fontId="16" fillId="27" borderId="0" applyNumberFormat="0" applyBorder="0" applyAlignment="0" applyProtection="0"/>
    <xf numFmtId="0" fontId="16" fillId="31" borderId="0" applyNumberFormat="0" applyBorder="0" applyAlignment="0" applyProtection="0"/>
    <xf numFmtId="0" fontId="16" fillId="35" borderId="0" applyNumberFormat="0" applyBorder="0" applyAlignment="0" applyProtection="0"/>
    <xf numFmtId="0" fontId="16" fillId="39" borderId="0" applyNumberFormat="0" applyBorder="0" applyAlignment="0" applyProtection="0"/>
    <xf numFmtId="0" fontId="16" fillId="43" borderId="0" applyNumberFormat="0" applyBorder="0" applyAlignment="0" applyProtection="0"/>
    <xf numFmtId="0" fontId="16" fillId="20" borderId="9" applyNumberFormat="0" applyFont="0" applyAlignment="0" applyProtection="0"/>
    <xf numFmtId="0" fontId="16" fillId="22" borderId="0" applyNumberFormat="0" applyBorder="0" applyAlignment="0" applyProtection="0"/>
    <xf numFmtId="0" fontId="16" fillId="23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20" borderId="9" applyNumberFormat="0" applyFont="0" applyAlignment="0" applyProtection="0"/>
    <xf numFmtId="0" fontId="16" fillId="0" borderId="0"/>
    <xf numFmtId="0" fontId="16" fillId="0" borderId="0"/>
    <xf numFmtId="0" fontId="16" fillId="0" borderId="0"/>
    <xf numFmtId="0" fontId="40" fillId="0" borderId="0"/>
  </cellStyleXfs>
  <cellXfs count="169">
    <xf numFmtId="0" fontId="0" fillId="0" borderId="0" xfId="0"/>
    <xf numFmtId="0" fontId="1" fillId="0" borderId="0" xfId="0" applyFont="1"/>
    <xf numFmtId="0" fontId="1" fillId="5" borderId="0" xfId="0" applyFont="1" applyFill="1"/>
    <xf numFmtId="0" fontId="0" fillId="6" borderId="0" xfId="0" applyFill="1"/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8" fillId="3" borderId="0" xfId="0" applyFont="1" applyFill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4" fillId="0" borderId="0" xfId="8" applyFont="1" applyAlignment="1">
      <alignment vertical="center"/>
    </xf>
    <xf numFmtId="0" fontId="4" fillId="0" borderId="0" xfId="8" applyFont="1" applyAlignment="1">
      <alignment horizontal="left" vertical="center"/>
    </xf>
    <xf numFmtId="0" fontId="9" fillId="2" borderId="0" xfId="8" applyFont="1" applyFill="1" applyAlignment="1">
      <alignment horizontal="left" vertical="center"/>
    </xf>
    <xf numFmtId="0" fontId="8" fillId="3" borderId="0" xfId="8" applyFont="1" applyFill="1" applyAlignment="1">
      <alignment horizontal="left" vertical="center"/>
    </xf>
    <xf numFmtId="0" fontId="8" fillId="4" borderId="0" xfId="8" applyFont="1" applyFill="1" applyAlignment="1">
      <alignment horizontal="left" vertical="center"/>
    </xf>
    <xf numFmtId="0" fontId="9" fillId="2" borderId="0" xfId="0" applyFont="1" applyFill="1" applyAlignment="1">
      <alignment horizontal="left" vertical="center"/>
    </xf>
    <xf numFmtId="0" fontId="4" fillId="0" borderId="0" xfId="8" applyFont="1" applyAlignment="1">
      <alignment horizontal="center" vertical="center" wrapText="1"/>
    </xf>
    <xf numFmtId="0" fontId="8" fillId="4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top" wrapText="1"/>
    </xf>
    <xf numFmtId="0" fontId="8" fillId="0" borderId="0" xfId="8" applyFont="1" applyAlignment="1">
      <alignment horizontal="left" vertical="top"/>
    </xf>
    <xf numFmtId="0" fontId="7" fillId="0" borderId="0" xfId="8" applyFont="1" applyAlignment="1">
      <alignment horizontal="left" vertical="top"/>
    </xf>
    <xf numFmtId="0" fontId="5" fillId="0" borderId="0" xfId="8" applyFont="1" applyAlignment="1">
      <alignment horizontal="left" vertical="top"/>
    </xf>
    <xf numFmtId="0" fontId="0" fillId="0" borderId="0" xfId="0" applyAlignment="1">
      <alignment horizontal="left" vertical="top"/>
    </xf>
    <xf numFmtId="0" fontId="0" fillId="8" borderId="0" xfId="0" applyFill="1"/>
    <xf numFmtId="0" fontId="4" fillId="9" borderId="0" xfId="8" applyFont="1" applyFill="1" applyAlignment="1">
      <alignment horizontal="center" vertical="center" wrapText="1"/>
    </xf>
    <xf numFmtId="0" fontId="4" fillId="10" borderId="0" xfId="8" applyFont="1" applyFill="1" applyAlignment="1">
      <alignment horizontal="center" vertical="center" wrapText="1"/>
    </xf>
    <xf numFmtId="0" fontId="4" fillId="11" borderId="0" xfId="8" applyFont="1" applyFill="1" applyAlignment="1">
      <alignment horizontal="center" vertical="center" wrapText="1"/>
    </xf>
    <xf numFmtId="0" fontId="14" fillId="0" borderId="0" xfId="8" applyFont="1" applyAlignment="1">
      <alignment horizontal="center" vertical="center" wrapText="1"/>
    </xf>
    <xf numFmtId="0" fontId="14" fillId="10" borderId="0" xfId="8" applyFont="1" applyFill="1" applyAlignment="1">
      <alignment horizontal="center" vertical="center" wrapText="1"/>
    </xf>
    <xf numFmtId="0" fontId="13" fillId="7" borderId="1" xfId="8" applyFont="1" applyFill="1" applyBorder="1" applyAlignment="1">
      <alignment horizontal="center" vertical="center"/>
    </xf>
    <xf numFmtId="0" fontId="4" fillId="0" borderId="0" xfId="8" applyFont="1" applyAlignment="1">
      <alignment horizontal="center" vertical="center"/>
    </xf>
    <xf numFmtId="0" fontId="8" fillId="2" borderId="0" xfId="8" applyFont="1" applyFill="1" applyAlignment="1">
      <alignment horizontal="left" vertical="center"/>
    </xf>
    <xf numFmtId="0" fontId="14" fillId="0" borderId="0" xfId="8" applyFont="1" applyAlignment="1">
      <alignment horizontal="center" vertical="center"/>
    </xf>
    <xf numFmtId="0" fontId="4" fillId="0" borderId="0" xfId="13" applyFont="1" applyAlignment="1">
      <alignment horizontal="center" vertical="center"/>
    </xf>
    <xf numFmtId="0" fontId="8" fillId="2" borderId="0" xfId="13" applyFont="1" applyFill="1" applyAlignment="1">
      <alignment vertical="center"/>
    </xf>
    <xf numFmtId="0" fontId="4" fillId="9" borderId="0" xfId="8" applyFont="1" applyFill="1" applyAlignment="1">
      <alignment horizontal="left" vertical="center"/>
    </xf>
    <xf numFmtId="0" fontId="4" fillId="10" borderId="0" xfId="8" applyFont="1" applyFill="1" applyAlignment="1">
      <alignment horizontal="left" vertical="center"/>
    </xf>
    <xf numFmtId="0" fontId="4" fillId="11" borderId="0" xfId="8" applyFont="1" applyFill="1" applyAlignment="1">
      <alignment horizontal="left" vertical="center"/>
    </xf>
    <xf numFmtId="0" fontId="0" fillId="12" borderId="0" xfId="0" applyFill="1"/>
    <xf numFmtId="0" fontId="0" fillId="13" borderId="0" xfId="0" applyFill="1"/>
    <xf numFmtId="0" fontId="0" fillId="4" borderId="0" xfId="0" applyFill="1"/>
    <xf numFmtId="49" fontId="4" fillId="0" borderId="0" xfId="1" applyNumberFormat="1" applyFont="1" applyAlignment="1">
      <alignment vertical="center"/>
    </xf>
    <xf numFmtId="49" fontId="8" fillId="2" borderId="0" xfId="8" quotePrefix="1" applyNumberFormat="1" applyFont="1" applyFill="1" applyAlignment="1">
      <alignment vertical="center"/>
    </xf>
    <xf numFmtId="49" fontId="4" fillId="9" borderId="0" xfId="1" applyNumberFormat="1" applyFont="1" applyFill="1" applyAlignment="1">
      <alignment horizontal="center" vertical="center"/>
    </xf>
    <xf numFmtId="49" fontId="4" fillId="9" borderId="0" xfId="1" applyNumberFormat="1" applyFont="1" applyFill="1" applyAlignment="1">
      <alignment vertical="center"/>
    </xf>
    <xf numFmtId="49" fontId="4" fillId="10" borderId="0" xfId="1" applyNumberFormat="1" applyFont="1" applyFill="1" applyAlignment="1">
      <alignment horizontal="center" vertical="center"/>
    </xf>
    <xf numFmtId="49" fontId="4" fillId="10" borderId="0" xfId="1" applyNumberFormat="1" applyFont="1" applyFill="1" applyAlignment="1">
      <alignment vertical="center"/>
    </xf>
    <xf numFmtId="0" fontId="4" fillId="11" borderId="0" xfId="8" applyFont="1" applyFill="1" applyAlignment="1">
      <alignment horizontal="center" vertical="center"/>
    </xf>
    <xf numFmtId="0" fontId="13" fillId="7" borderId="1" xfId="8" applyFont="1" applyFill="1" applyBorder="1" applyAlignment="1">
      <alignment horizontal="center" vertical="center" wrapText="1"/>
    </xf>
    <xf numFmtId="0" fontId="4" fillId="0" borderId="11" xfId="8" applyFont="1" applyBorder="1" applyAlignment="1">
      <alignment horizontal="center" vertical="center" wrapText="1"/>
    </xf>
    <xf numFmtId="0" fontId="10" fillId="0" borderId="11" xfId="8" applyFont="1" applyBorder="1" applyAlignment="1">
      <alignment horizontal="left" vertical="center" wrapText="1"/>
    </xf>
    <xf numFmtId="0" fontId="10" fillId="0" borderId="11" xfId="8" applyFont="1" applyBorder="1" applyAlignment="1">
      <alignment horizontal="center" vertical="center" wrapText="1"/>
    </xf>
    <xf numFmtId="0" fontId="4" fillId="0" borderId="11" xfId="8" applyFont="1" applyBorder="1" applyAlignment="1">
      <alignment vertical="center" wrapText="1"/>
    </xf>
    <xf numFmtId="0" fontId="4" fillId="0" borderId="0" xfId="8" quotePrefix="1" applyFont="1" applyAlignment="1">
      <alignment vertical="center" wrapText="1"/>
    </xf>
    <xf numFmtId="0" fontId="4" fillId="9" borderId="0" xfId="1" applyFont="1" applyFill="1" applyAlignment="1">
      <alignment vertical="center" wrapText="1"/>
    </xf>
    <xf numFmtId="0" fontId="4" fillId="9" borderId="0" xfId="1" applyFont="1" applyFill="1" applyAlignment="1">
      <alignment vertical="center"/>
    </xf>
    <xf numFmtId="0" fontId="4" fillId="9" borderId="0" xfId="1" applyFont="1" applyFill="1" applyAlignment="1">
      <alignment horizontal="center" vertical="center"/>
    </xf>
    <xf numFmtId="0" fontId="4" fillId="10" borderId="0" xfId="1" applyFont="1" applyFill="1" applyAlignment="1">
      <alignment horizontal="center" vertical="center"/>
    </xf>
    <xf numFmtId="0" fontId="4" fillId="10" borderId="0" xfId="1" applyFont="1" applyFill="1" applyAlignment="1">
      <alignment vertical="center" wrapText="1"/>
    </xf>
    <xf numFmtId="0" fontId="4" fillId="10" borderId="0" xfId="1" applyFont="1" applyFill="1" applyAlignment="1">
      <alignment vertical="center"/>
    </xf>
    <xf numFmtId="0" fontId="13" fillId="7" borderId="1" xfId="144" applyFont="1" applyFill="1" applyBorder="1" applyAlignment="1">
      <alignment horizontal="center" vertical="center"/>
    </xf>
    <xf numFmtId="0" fontId="4" fillId="45" borderId="0" xfId="8" applyFont="1" applyFill="1" applyAlignment="1">
      <alignment horizontal="center" vertical="center"/>
    </xf>
    <xf numFmtId="0" fontId="4" fillId="0" borderId="0" xfId="10" applyFont="1" applyAlignment="1">
      <alignment vertical="center"/>
    </xf>
    <xf numFmtId="0" fontId="4" fillId="0" borderId="11" xfId="17" applyFont="1" applyBorder="1" applyAlignment="1">
      <alignment vertical="center"/>
    </xf>
    <xf numFmtId="0" fontId="4" fillId="0" borderId="13" xfId="17" applyFont="1" applyBorder="1" applyAlignment="1">
      <alignment vertical="center"/>
    </xf>
    <xf numFmtId="0" fontId="5" fillId="2" borderId="0" xfId="8" applyFont="1" applyFill="1" applyAlignment="1">
      <alignment horizontal="left" vertical="center"/>
    </xf>
    <xf numFmtId="0" fontId="36" fillId="0" borderId="11" xfId="17" applyFont="1" applyBorder="1" applyAlignment="1">
      <alignment vertical="center"/>
    </xf>
    <xf numFmtId="0" fontId="8" fillId="2" borderId="0" xfId="1" quotePrefix="1" applyFont="1" applyFill="1" applyAlignment="1">
      <alignment vertical="center"/>
    </xf>
    <xf numFmtId="0" fontId="14" fillId="0" borderId="0" xfId="8" applyFont="1" applyAlignment="1">
      <alignment horizontal="left" vertical="center"/>
    </xf>
    <xf numFmtId="0" fontId="4" fillId="0" borderId="12" xfId="17" applyFont="1" applyBorder="1" applyAlignment="1">
      <alignment vertical="center"/>
    </xf>
    <xf numFmtId="0" fontId="14" fillId="0" borderId="0" xfId="1" applyFont="1" applyAlignment="1">
      <alignment horizontal="center" vertical="center"/>
    </xf>
    <xf numFmtId="0" fontId="4" fillId="0" borderId="0" xfId="8" applyFont="1" applyAlignment="1">
      <alignment vertical="center" wrapText="1"/>
    </xf>
    <xf numFmtId="0" fontId="8" fillId="2" borderId="0" xfId="8" quotePrefix="1" applyFont="1" applyFill="1" applyAlignment="1">
      <alignment vertical="center" wrapText="1"/>
    </xf>
    <xf numFmtId="0" fontId="4" fillId="0" borderId="0" xfId="8" quotePrefix="1" applyFont="1" applyAlignment="1">
      <alignment horizontal="left" vertical="center" wrapText="1"/>
    </xf>
    <xf numFmtId="0" fontId="4" fillId="0" borderId="0" xfId="17" applyFont="1" applyAlignment="1">
      <alignment horizontal="center" vertical="center"/>
    </xf>
    <xf numFmtId="0" fontId="13" fillId="7" borderId="1" xfId="17" applyFont="1" applyFill="1" applyBorder="1" applyAlignment="1">
      <alignment horizontal="center" vertical="center"/>
    </xf>
    <xf numFmtId="0" fontId="4" fillId="0" borderId="11" xfId="17" applyFont="1" applyBorder="1" applyAlignment="1">
      <alignment horizontal="center" vertical="center"/>
    </xf>
    <xf numFmtId="0" fontId="14" fillId="0" borderId="11" xfId="17" applyFont="1" applyBorder="1" applyAlignment="1">
      <alignment horizontal="center" vertical="center"/>
    </xf>
    <xf numFmtId="0" fontId="4" fillId="0" borderId="12" xfId="17" applyFont="1" applyBorder="1" applyAlignment="1">
      <alignment horizontal="center" vertical="center"/>
    </xf>
    <xf numFmtId="0" fontId="4" fillId="0" borderId="13" xfId="17" applyFont="1" applyBorder="1" applyAlignment="1">
      <alignment horizontal="center" vertical="center"/>
    </xf>
    <xf numFmtId="0" fontId="4" fillId="0" borderId="0" xfId="17" applyFont="1" applyAlignment="1">
      <alignment vertical="center"/>
    </xf>
    <xf numFmtId="0" fontId="4" fillId="0" borderId="0" xfId="8" quotePrefix="1" applyFont="1" applyAlignment="1">
      <alignment vertical="center"/>
    </xf>
    <xf numFmtId="0" fontId="4" fillId="11" borderId="0" xfId="8" applyFont="1" applyFill="1" applyAlignment="1">
      <alignment vertical="center" wrapText="1"/>
    </xf>
    <xf numFmtId="0" fontId="4" fillId="45" borderId="0" xfId="8" applyFont="1" applyFill="1" applyAlignment="1">
      <alignment horizontal="center" vertical="center" wrapText="1"/>
    </xf>
    <xf numFmtId="0" fontId="4" fillId="45" borderId="0" xfId="8" applyFont="1" applyFill="1" applyAlignment="1">
      <alignment vertical="center" wrapText="1"/>
    </xf>
    <xf numFmtId="0" fontId="14" fillId="11" borderId="0" xfId="8" applyFont="1" applyFill="1" applyAlignment="1">
      <alignment horizontal="center" vertical="center"/>
    </xf>
    <xf numFmtId="0" fontId="14" fillId="45" borderId="0" xfId="8" applyFont="1" applyFill="1" applyAlignment="1">
      <alignment horizontal="center" vertical="center"/>
    </xf>
    <xf numFmtId="0" fontId="4" fillId="45" borderId="0" xfId="8" applyFont="1" applyFill="1" applyAlignment="1">
      <alignment horizontal="left" vertical="center"/>
    </xf>
    <xf numFmtId="0" fontId="10" fillId="0" borderId="12" xfId="8" applyFont="1" applyBorder="1" applyAlignment="1">
      <alignment horizontal="left" vertical="center" wrapText="1"/>
    </xf>
    <xf numFmtId="0" fontId="4" fillId="0" borderId="11" xfId="0" applyFont="1" applyBorder="1" applyAlignment="1">
      <alignment vertical="center" wrapText="1"/>
    </xf>
    <xf numFmtId="0" fontId="10" fillId="0" borderId="17" xfId="8" applyFont="1" applyBorder="1" applyAlignment="1">
      <alignment horizontal="left" vertical="center" wrapText="1"/>
    </xf>
    <xf numFmtId="0" fontId="13" fillId="7" borderId="14" xfId="8" applyFont="1" applyFill="1" applyBorder="1" applyAlignment="1">
      <alignment horizontal="center" vertical="center" wrapText="1"/>
    </xf>
    <xf numFmtId="0" fontId="8" fillId="2" borderId="0" xfId="8" applyFont="1" applyFill="1" applyAlignment="1">
      <alignment vertical="center" wrapText="1"/>
    </xf>
    <xf numFmtId="0" fontId="4" fillId="10" borderId="0" xfId="8" applyFont="1" applyFill="1" applyAlignment="1">
      <alignment vertical="center" wrapText="1"/>
    </xf>
    <xf numFmtId="0" fontId="4" fillId="2" borderId="0" xfId="8" applyFont="1" applyFill="1" applyAlignment="1">
      <alignment horizontal="center" vertical="center" wrapText="1"/>
    </xf>
    <xf numFmtId="0" fontId="5" fillId="2" borderId="0" xfId="8" applyFont="1" applyFill="1" applyAlignment="1">
      <alignment vertical="center" wrapText="1"/>
    </xf>
    <xf numFmtId="0" fontId="4" fillId="0" borderId="15" xfId="8" applyFont="1" applyBorder="1" applyAlignment="1">
      <alignment horizontal="center" vertical="center" wrapText="1"/>
    </xf>
    <xf numFmtId="0" fontId="10" fillId="0" borderId="15" xfId="8" applyFont="1" applyBorder="1" applyAlignment="1">
      <alignment horizontal="center" vertical="center" wrapText="1"/>
    </xf>
    <xf numFmtId="0" fontId="10" fillId="10" borderId="15" xfId="8" applyFont="1" applyFill="1" applyBorder="1" applyAlignment="1">
      <alignment horizontal="center" vertical="center" wrapText="1"/>
    </xf>
    <xf numFmtId="0" fontId="10" fillId="9" borderId="16" xfId="8" applyFont="1" applyFill="1" applyBorder="1" applyAlignment="1">
      <alignment horizontal="center" vertical="center" wrapText="1"/>
    </xf>
    <xf numFmtId="0" fontId="8" fillId="2" borderId="0" xfId="8" applyFont="1" applyFill="1" applyAlignment="1">
      <alignment horizontal="center" vertical="center" wrapText="1"/>
    </xf>
    <xf numFmtId="0" fontId="13" fillId="7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9" fillId="2" borderId="0" xfId="0" applyFont="1" applyFill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4" fillId="11" borderId="0" xfId="0" applyFont="1" applyFill="1" applyAlignment="1">
      <alignment horizontal="center" vertical="center" wrapText="1"/>
    </xf>
    <xf numFmtId="0" fontId="4" fillId="11" borderId="0" xfId="0" applyFont="1" applyFill="1" applyAlignment="1">
      <alignment horizontal="left" vertical="center" wrapText="1"/>
    </xf>
    <xf numFmtId="0" fontId="14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45" borderId="0" xfId="0" applyFont="1" applyFill="1" applyAlignment="1">
      <alignment horizontal="center" vertical="center"/>
    </xf>
    <xf numFmtId="0" fontId="4" fillId="45" borderId="0" xfId="0" applyFont="1" applyFill="1" applyAlignment="1">
      <alignment horizontal="left" vertical="center"/>
    </xf>
    <xf numFmtId="0" fontId="4" fillId="45" borderId="0" xfId="0" applyFont="1" applyFill="1" applyAlignment="1">
      <alignment horizontal="center" vertical="center" wrapText="1"/>
    </xf>
    <xf numFmtId="0" fontId="4" fillId="45" borderId="0" xfId="0" applyFont="1" applyFill="1" applyAlignment="1">
      <alignment horizontal="left" vertical="center" wrapText="1"/>
    </xf>
    <xf numFmtId="0" fontId="13" fillId="7" borderId="1" xfId="113" applyFont="1" applyFill="1" applyBorder="1" applyAlignment="1">
      <alignment horizontal="center" vertical="center"/>
    </xf>
    <xf numFmtId="0" fontId="4" fillId="0" borderId="0" xfId="113" applyFont="1" applyAlignment="1">
      <alignment horizontal="center" vertical="center" wrapText="1"/>
    </xf>
    <xf numFmtId="0" fontId="9" fillId="2" borderId="0" xfId="113" applyFont="1" applyFill="1" applyAlignment="1">
      <alignment horizontal="left" vertical="center" wrapText="1"/>
    </xf>
    <xf numFmtId="0" fontId="4" fillId="0" borderId="0" xfId="113" applyFont="1" applyAlignment="1">
      <alignment horizontal="left" vertical="center" wrapText="1"/>
    </xf>
    <xf numFmtId="0" fontId="4" fillId="46" borderId="0" xfId="113" quotePrefix="1" applyFont="1" applyFill="1" applyAlignment="1">
      <alignment horizontal="center" vertical="center" wrapText="1"/>
    </xf>
    <xf numFmtId="0" fontId="4" fillId="46" borderId="0" xfId="113" quotePrefix="1" applyFont="1" applyFill="1" applyAlignment="1">
      <alignment horizontal="left" vertical="center" wrapText="1"/>
    </xf>
    <xf numFmtId="0" fontId="4" fillId="46" borderId="0" xfId="113" applyFont="1" applyFill="1" applyAlignment="1">
      <alignment horizontal="center" vertical="center" wrapText="1"/>
    </xf>
    <xf numFmtId="0" fontId="4" fillId="46" borderId="0" xfId="113" applyFont="1" applyFill="1" applyAlignment="1">
      <alignment horizontal="left" vertical="center" wrapText="1"/>
    </xf>
    <xf numFmtId="0" fontId="4" fillId="47" borderId="0" xfId="113" applyFont="1" applyFill="1" applyAlignment="1">
      <alignment horizontal="center" vertical="center" wrapText="1"/>
    </xf>
    <xf numFmtId="0" fontId="4" fillId="47" borderId="0" xfId="113" applyFont="1" applyFill="1" applyAlignment="1">
      <alignment horizontal="left" vertical="center" wrapText="1"/>
    </xf>
    <xf numFmtId="0" fontId="14" fillId="0" borderId="0" xfId="0" applyFont="1" applyAlignment="1">
      <alignment vertical="center" wrapText="1"/>
    </xf>
    <xf numFmtId="0" fontId="4" fillId="47" borderId="0" xfId="113" applyFont="1" applyFill="1" applyAlignment="1">
      <alignment horizontal="center" vertical="center"/>
    </xf>
    <xf numFmtId="0" fontId="4" fillId="47" borderId="0" xfId="113" applyFont="1" applyFill="1" applyAlignment="1">
      <alignment horizontal="left" vertical="center"/>
    </xf>
    <xf numFmtId="0" fontId="39" fillId="46" borderId="0" xfId="113" applyFont="1" applyFill="1" applyAlignment="1">
      <alignment horizontal="left" vertical="center" wrapText="1"/>
    </xf>
    <xf numFmtId="0" fontId="39" fillId="0" borderId="0" xfId="113" applyFont="1" applyAlignment="1">
      <alignment horizontal="left" vertical="center" wrapText="1"/>
    </xf>
    <xf numFmtId="0" fontId="4" fillId="47" borderId="0" xfId="113" applyFont="1" applyFill="1" applyAlignment="1">
      <alignment horizontal="left" vertical="top" wrapText="1"/>
    </xf>
    <xf numFmtId="0" fontId="4" fillId="46" borderId="0" xfId="113" applyFont="1" applyFill="1" applyAlignment="1">
      <alignment horizontal="center" vertical="center"/>
    </xf>
    <xf numFmtId="0" fontId="4" fillId="46" borderId="0" xfId="113" applyFont="1" applyFill="1" applyAlignment="1">
      <alignment horizontal="left" vertical="center"/>
    </xf>
    <xf numFmtId="0" fontId="4" fillId="0" borderId="0" xfId="113" applyFont="1" applyAlignment="1">
      <alignment horizontal="center" vertical="center"/>
    </xf>
    <xf numFmtId="0" fontId="4" fillId="0" borderId="0" xfId="113" applyFont="1" applyAlignment="1">
      <alignment horizontal="left" vertical="center"/>
    </xf>
    <xf numFmtId="0" fontId="4" fillId="2" borderId="0" xfId="113" applyFont="1" applyFill="1" applyAlignment="1">
      <alignment horizontal="left" vertical="center"/>
    </xf>
    <xf numFmtId="0" fontId="8" fillId="2" borderId="0" xfId="113" applyFont="1" applyFill="1" applyAlignment="1">
      <alignment horizontal="left" vertical="center"/>
    </xf>
    <xf numFmtId="0" fontId="39" fillId="0" borderId="0" xfId="113" applyFont="1" applyAlignment="1">
      <alignment horizontal="left" vertical="center"/>
    </xf>
    <xf numFmtId="0" fontId="13" fillId="7" borderId="1" xfId="13" applyFont="1" applyFill="1" applyBorder="1" applyAlignment="1">
      <alignment horizontal="center" vertical="center"/>
    </xf>
    <xf numFmtId="0" fontId="9" fillId="2" borderId="0" xfId="13" applyFont="1" applyFill="1" applyAlignment="1">
      <alignment horizontal="left" vertical="center"/>
    </xf>
    <xf numFmtId="0" fontId="4" fillId="0" borderId="0" xfId="13" applyFont="1" applyAlignment="1">
      <alignment horizontal="left" vertical="center"/>
    </xf>
    <xf numFmtId="0" fontId="4" fillId="11" borderId="0" xfId="13" applyFont="1" applyFill="1" applyAlignment="1">
      <alignment horizontal="center" vertical="center"/>
    </xf>
    <xf numFmtId="0" fontId="4" fillId="11" borderId="0" xfId="13" applyFont="1" applyFill="1" applyAlignment="1">
      <alignment horizontal="left" vertical="center"/>
    </xf>
    <xf numFmtId="0" fontId="14" fillId="0" borderId="0" xfId="13" applyFont="1" applyAlignment="1">
      <alignment horizontal="center" vertical="center"/>
    </xf>
    <xf numFmtId="0" fontId="14" fillId="11" borderId="0" xfId="13" applyFont="1" applyFill="1" applyAlignment="1">
      <alignment horizontal="center" vertical="center"/>
    </xf>
    <xf numFmtId="0" fontId="4" fillId="45" borderId="0" xfId="13" applyFont="1" applyFill="1" applyAlignment="1">
      <alignment horizontal="center" vertical="center"/>
    </xf>
    <xf numFmtId="0" fontId="4" fillId="45" borderId="0" xfId="13" applyFont="1" applyFill="1" applyAlignment="1">
      <alignment horizontal="left" vertical="center"/>
    </xf>
    <xf numFmtId="0" fontId="14" fillId="45" borderId="0" xfId="13" applyFont="1" applyFill="1" applyAlignment="1">
      <alignment horizontal="center" vertical="center"/>
    </xf>
    <xf numFmtId="0" fontId="4" fillId="0" borderId="0" xfId="8" applyFont="1" applyAlignment="1">
      <alignment horizontal="left" vertical="center" wrapText="1"/>
    </xf>
    <xf numFmtId="0" fontId="4" fillId="11" borderId="0" xfId="8" applyFont="1" applyFill="1" applyAlignment="1">
      <alignment horizontal="left" vertical="center" wrapText="1"/>
    </xf>
    <xf numFmtId="0" fontId="9" fillId="2" borderId="0" xfId="8" applyFont="1" applyFill="1" applyAlignment="1">
      <alignment horizontal="left" vertical="center" wrapText="1"/>
    </xf>
    <xf numFmtId="0" fontId="4" fillId="9" borderId="0" xfId="8" applyFont="1" applyFill="1" applyAlignment="1">
      <alignment horizontal="left" vertical="center" wrapText="1"/>
    </xf>
    <xf numFmtId="0" fontId="4" fillId="10" borderId="0" xfId="8" applyFont="1" applyFill="1" applyAlignment="1">
      <alignment horizontal="left" vertical="center" wrapText="1"/>
    </xf>
    <xf numFmtId="0" fontId="14" fillId="10" borderId="0" xfId="8" applyFont="1" applyFill="1" applyAlignment="1">
      <alignment horizontal="center" vertical="center"/>
    </xf>
    <xf numFmtId="0" fontId="0" fillId="0" borderId="0" xfId="0" applyAlignment="1"/>
    <xf numFmtId="0" fontId="9" fillId="2" borderId="0" xfId="113" applyFont="1" applyFill="1" applyAlignment="1">
      <alignment horizontal="left" vertical="center"/>
    </xf>
    <xf numFmtId="0" fontId="4" fillId="46" borderId="0" xfId="113" quotePrefix="1" applyFont="1" applyFill="1" applyAlignment="1">
      <alignment horizontal="center" vertical="center"/>
    </xf>
    <xf numFmtId="0" fontId="4" fillId="46" borderId="0" xfId="113" quotePrefix="1" applyFont="1" applyFill="1" applyAlignment="1">
      <alignment horizontal="left" vertical="center"/>
    </xf>
    <xf numFmtId="0" fontId="4" fillId="47" borderId="0" xfId="113" quotePrefix="1" applyFont="1" applyFill="1" applyAlignment="1">
      <alignment horizontal="center" vertical="center"/>
    </xf>
    <xf numFmtId="0" fontId="4" fillId="47" borderId="0" xfId="113" quotePrefix="1" applyFont="1" applyFill="1" applyAlignment="1">
      <alignment horizontal="left" vertical="center"/>
    </xf>
    <xf numFmtId="0" fontId="14" fillId="0" borderId="0" xfId="0" applyFont="1" applyAlignment="1">
      <alignment vertical="center"/>
    </xf>
    <xf numFmtId="0" fontId="4" fillId="0" borderId="0" xfId="113" applyFont="1" applyAlignment="1">
      <alignment horizontal="center" vertical="center"/>
    </xf>
    <xf numFmtId="0" fontId="13" fillId="7" borderId="1" xfId="113" applyFont="1" applyFill="1" applyBorder="1" applyAlignment="1">
      <alignment horizontal="center" vertical="center"/>
    </xf>
    <xf numFmtId="0" fontId="4" fillId="0" borderId="0" xfId="113" applyFont="1" applyAlignment="1">
      <alignment horizontal="left" vertical="center"/>
    </xf>
    <xf numFmtId="0" fontId="4" fillId="46" borderId="0" xfId="113" applyFont="1" applyFill="1" applyAlignment="1">
      <alignment horizontal="center" vertical="center"/>
    </xf>
    <xf numFmtId="0" fontId="4" fillId="46" borderId="0" xfId="113" applyFont="1" applyFill="1" applyAlignment="1">
      <alignment horizontal="left" vertical="center"/>
    </xf>
    <xf numFmtId="0" fontId="4" fillId="47" borderId="0" xfId="113" applyFont="1" applyFill="1" applyAlignment="1">
      <alignment horizontal="left" vertical="center"/>
    </xf>
    <xf numFmtId="0" fontId="4" fillId="47" borderId="0" xfId="113" applyFont="1" applyFill="1" applyAlignment="1">
      <alignment horizontal="center" vertical="center"/>
    </xf>
    <xf numFmtId="0" fontId="4" fillId="47" borderId="0" xfId="113" applyFont="1" applyFill="1" applyAlignment="1">
      <alignment vertical="center"/>
    </xf>
  </cellXfs>
  <cellStyles count="146">
    <cellStyle name="20% - Accent1 2" xfId="23" xr:uid="{2CB18F37-5F7D-406C-BBF8-AEF9C99FBFA0}"/>
    <cellStyle name="20% - Accent1 2 2" xfId="116" xr:uid="{940E06D0-2C59-4BB8-82E5-8C54F7076316}"/>
    <cellStyle name="20% - Accent1 3" xfId="81" xr:uid="{1AC42EBD-1B09-4A88-9833-CC3356918DF2}"/>
    <cellStyle name="20% - Accent1 3 2" xfId="129" xr:uid="{A8C757B3-5BF4-47FF-B354-8398BCD53972}"/>
    <cellStyle name="20% - Accent2 2" xfId="24" xr:uid="{9E3CC493-58E8-4C8F-B102-53FB198D73BB}"/>
    <cellStyle name="20% - Accent2 2 2" xfId="117" xr:uid="{927FF32A-EBF4-45D5-BF8D-C648EC6CA884}"/>
    <cellStyle name="20% - Accent2 3" xfId="85" xr:uid="{7C2BED31-3406-4B9B-9168-CD7A89DF38C1}"/>
    <cellStyle name="20% - Accent2 3 2" xfId="131" xr:uid="{B7F6AECF-A660-4B4A-AC6E-BF24F2662F8D}"/>
    <cellStyle name="20% - Accent3 2" xfId="25" xr:uid="{79A21053-038B-4737-80FA-7EE9AFCFD1E0}"/>
    <cellStyle name="20% - Accent3 2 2" xfId="118" xr:uid="{FCB54EEF-C32E-4380-A1D8-1FB6E55182FF}"/>
    <cellStyle name="20% - Accent3 3" xfId="89" xr:uid="{6E6E9B7F-166D-4A6E-88D8-73AA6BD088C5}"/>
    <cellStyle name="20% - Accent3 3 2" xfId="133" xr:uid="{59956D7E-F966-4765-9D64-F48A48A47DEA}"/>
    <cellStyle name="20% - Accent4 2" xfId="26" xr:uid="{33A40759-57CE-4F6C-9D7F-EAE52B652679}"/>
    <cellStyle name="20% - Accent4 2 2" xfId="119" xr:uid="{EA5512DD-10F7-48A5-A769-DE9EE6DF3CFA}"/>
    <cellStyle name="20% - Accent4 3" xfId="93" xr:uid="{CA6C1972-7E00-4161-8A2F-7DF783D9AB04}"/>
    <cellStyle name="20% - Accent4 3 2" xfId="135" xr:uid="{755A0801-02EF-4F15-96A8-C8C085286AEF}"/>
    <cellStyle name="20% - Accent5 2" xfId="27" xr:uid="{259D20E0-336A-4702-9871-366FE2CB0FD1}"/>
    <cellStyle name="20% - Accent5 2 2" xfId="120" xr:uid="{FB2F9949-F590-4F77-B609-F8068E8FAFFE}"/>
    <cellStyle name="20% - Accent5 3" xfId="97" xr:uid="{6DE44E85-38B2-42D9-A7B9-A4F3660EEB2A}"/>
    <cellStyle name="20% - Accent5 3 2" xfId="137" xr:uid="{6D71268B-E333-4AC7-B321-3DD19346A626}"/>
    <cellStyle name="20% - Accent6 2" xfId="28" xr:uid="{234258A1-6710-492A-8D62-62A600DE823F}"/>
    <cellStyle name="20% - Accent6 2 2" xfId="121" xr:uid="{190B4DB3-09DB-437A-A7F6-E984A87B9F42}"/>
    <cellStyle name="20% - Accent6 3" xfId="101" xr:uid="{D6BF0808-F8B8-489F-88E1-53EE31C15786}"/>
    <cellStyle name="20% - Accent6 3 2" xfId="139" xr:uid="{CBB0E1FE-F7D6-4127-91D1-3A1B3C081878}"/>
    <cellStyle name="40% - Accent1 2" xfId="29" xr:uid="{6BC50052-0B6E-45DC-9658-718D2015F641}"/>
    <cellStyle name="40% - Accent1 2 2" xfId="122" xr:uid="{2E911C75-9CE7-48BB-839B-FB4B06C83BC4}"/>
    <cellStyle name="40% - Accent1 3" xfId="82" xr:uid="{B5C40522-61E9-441A-8C8D-DB2438C39AA4}"/>
    <cellStyle name="40% - Accent1 3 2" xfId="130" xr:uid="{33565B81-8438-4542-ADFD-99541C4A9953}"/>
    <cellStyle name="40% - Accent2 2" xfId="30" xr:uid="{2DE9148D-2438-4F47-A70D-6E74C2D2F5E8}"/>
    <cellStyle name="40% - Accent2 2 2" xfId="123" xr:uid="{185DC0AD-08E7-45CE-9BCC-74A51FF5CD4B}"/>
    <cellStyle name="40% - Accent2 3" xfId="86" xr:uid="{3E58882E-2193-4EAB-AD54-33D16A0BFD9C}"/>
    <cellStyle name="40% - Accent2 3 2" xfId="132" xr:uid="{241405A5-F2B3-4F7E-9305-5947C34E78C0}"/>
    <cellStyle name="40% - Accent3 2" xfId="31" xr:uid="{7E2E5BEA-C69A-4359-8E5B-DE84F133FC57}"/>
    <cellStyle name="40% - Accent3 2 2" xfId="124" xr:uid="{F67E3483-F8C5-4ED3-A7B7-F8A830CB5535}"/>
    <cellStyle name="40% - Accent3 3" xfId="90" xr:uid="{465AE060-1743-4676-A1D6-BB7A2CA93E89}"/>
    <cellStyle name="40% - Accent3 3 2" xfId="134" xr:uid="{0249F833-7F52-4847-A164-6CF7E86C0291}"/>
    <cellStyle name="40% - Accent4 2" xfId="32" xr:uid="{CA21510A-A5FA-4F06-8EB3-AF5C672471FC}"/>
    <cellStyle name="40% - Accent4 2 2" xfId="125" xr:uid="{BA91C826-56AA-4561-BBFA-1E1B712FAB1C}"/>
    <cellStyle name="40% - Accent4 3" xfId="94" xr:uid="{880526B9-A3FC-4049-9C5E-4BC1E2C88746}"/>
    <cellStyle name="40% - Accent4 3 2" xfId="136" xr:uid="{61EF1317-D7C9-4533-B001-2E4F89830A7D}"/>
    <cellStyle name="40% - Accent5 2" xfId="33" xr:uid="{57D34118-8A18-4095-9654-D29DBDCD7045}"/>
    <cellStyle name="40% - Accent5 2 2" xfId="126" xr:uid="{B16E7776-4DA7-4AD4-8488-D4380C9C232E}"/>
    <cellStyle name="40% - Accent5 3" xfId="98" xr:uid="{BAC26739-8437-4405-9F4C-35A9537F4A63}"/>
    <cellStyle name="40% - Accent5 3 2" xfId="138" xr:uid="{AD72524A-EA55-491D-9D13-7C0EDABE07DC}"/>
    <cellStyle name="40% - Accent6 2" xfId="34" xr:uid="{89E806EC-CC9D-44A6-8DD2-93F3B30515C7}"/>
    <cellStyle name="40% - Accent6 2 2" xfId="127" xr:uid="{130248B1-C5BB-429C-9305-5D225431D12F}"/>
    <cellStyle name="40% - Accent6 3" xfId="102" xr:uid="{53E9E16F-41EF-49D2-8DE2-46182E09DF3E}"/>
    <cellStyle name="40% - Accent6 3 2" xfId="140" xr:uid="{C1D08541-53C4-4003-9CDD-D4000986EEA3}"/>
    <cellStyle name="60% - Accent1 2" xfId="35" xr:uid="{A5D1A78C-E75A-465B-84E3-B18EE1453F4C}"/>
    <cellStyle name="60% - Accent1 3" xfId="83" xr:uid="{79B153D7-687E-41E7-9241-A749E2644589}"/>
    <cellStyle name="60% - Accent2 2" xfId="36" xr:uid="{20211D9E-93A6-4151-AD1A-58B6C61EA0AB}"/>
    <cellStyle name="60% - Accent2 3" xfId="87" xr:uid="{633A3F48-8169-4F9A-BF08-78D8124F69B9}"/>
    <cellStyle name="60% - Accent3 2" xfId="37" xr:uid="{BA732E63-279A-444E-A777-27EBA814623F}"/>
    <cellStyle name="60% - Accent3 3" xfId="91" xr:uid="{981C15B7-1757-4212-A8B2-909FEDF023C1}"/>
    <cellStyle name="60% - Accent4 2" xfId="38" xr:uid="{1414DCAA-DB97-4F69-80CA-BCF9632FD225}"/>
    <cellStyle name="60% - Accent4 3" xfId="95" xr:uid="{55E08E8D-F7FF-446D-BD14-525D409FD163}"/>
    <cellStyle name="60% - Accent5 2" xfId="39" xr:uid="{7FD58F5B-07F7-4972-8B02-9F19671F6D9E}"/>
    <cellStyle name="60% - Accent5 3" xfId="99" xr:uid="{88D68232-F140-4AAC-8830-8D5EA4B0A621}"/>
    <cellStyle name="60% - Accent6 2" xfId="40" xr:uid="{6B9B827D-EBBE-40F7-BA8D-14B03833307C}"/>
    <cellStyle name="60% - Accent6 3" xfId="103" xr:uid="{1ED10C97-6CC6-4FC7-AAE5-B2513EEF4BD1}"/>
    <cellStyle name="Accent1 2" xfId="41" xr:uid="{D5E7CDC8-E390-458E-B12C-F60908242B03}"/>
    <cellStyle name="Accent1 3" xfId="80" xr:uid="{EA6707BE-E72B-4162-A9F5-64DD1A61FC3F}"/>
    <cellStyle name="Accent2 2" xfId="42" xr:uid="{50ED7015-B0F5-43A5-BA04-997305FA74B1}"/>
    <cellStyle name="Accent2 3" xfId="84" xr:uid="{A9600A35-5F75-4989-A3AA-B32D5FABCFDE}"/>
    <cellStyle name="Accent3 2" xfId="43" xr:uid="{5A9DF1E1-F178-4D56-B849-13D8E49CB7A5}"/>
    <cellStyle name="Accent3 3" xfId="88" xr:uid="{AB3D6B8D-0B4C-466C-9BAA-F94188236891}"/>
    <cellStyle name="Accent4 2" xfId="44" xr:uid="{E78D4358-890D-4469-B6FD-9F9F31C7A4CE}"/>
    <cellStyle name="Accent4 3" xfId="92" xr:uid="{4EC262F6-FEAB-42EB-B339-1B77A1F28C7C}"/>
    <cellStyle name="Accent5 2" xfId="45" xr:uid="{D144D4DE-F337-460B-9F4A-8B5EE67A137C}"/>
    <cellStyle name="Accent5 3" xfId="96" xr:uid="{95C9F4C2-5869-4C37-A306-B4CD1C6EBC46}"/>
    <cellStyle name="Accent6 2" xfId="46" xr:uid="{15C5BE17-CEC0-4CC9-BDC3-61FDC6B6A364}"/>
    <cellStyle name="Accent6 3" xfId="100" xr:uid="{D2B88071-5916-4761-895E-FD0111BFFA77}"/>
    <cellStyle name="Bad 2" xfId="47" xr:uid="{7B69D7C2-0C9E-49A1-827C-DF36739F1EA7}"/>
    <cellStyle name="Bad 3" xfId="70" xr:uid="{13B5C7D3-ABEA-4B4F-962D-D3A72E216FC6}"/>
    <cellStyle name="Calculation 2" xfId="48" xr:uid="{3A8E68D4-56B8-4770-82EF-DE7EB8EEC3F5}"/>
    <cellStyle name="Calculation 3" xfId="74" xr:uid="{36315E24-D52A-40BC-A5A3-4388105EFDB0}"/>
    <cellStyle name="Check Cell 2" xfId="49" xr:uid="{D82CAB21-69CF-4D39-B469-EE9465EEC163}"/>
    <cellStyle name="Check Cell 3" xfId="76" xr:uid="{EBEAA1E2-10B3-44E8-8C68-0069B607AA95}"/>
    <cellStyle name="Explanatory Text 2" xfId="50" xr:uid="{83BCB458-C9A8-47C7-8AF0-7B362254BEBB}"/>
    <cellStyle name="Explanatory Text 3" xfId="78" xr:uid="{1C41EFB2-A51B-4A54-9A22-2EC28EE0FD46}"/>
    <cellStyle name="Good 2" xfId="51" xr:uid="{A9717D90-7332-4398-A164-4DEC3B83A3C3}"/>
    <cellStyle name="Good 3" xfId="69" xr:uid="{30344925-1A69-459A-9A72-156AB36BFCB5}"/>
    <cellStyle name="Heading 1 2" xfId="52" xr:uid="{1981DB31-8706-4BFE-A744-7A8D751BC30D}"/>
    <cellStyle name="Heading 1 3" xfId="65" xr:uid="{229FAD86-A655-4866-BBF2-8D9B5A84265B}"/>
    <cellStyle name="Heading 2 2" xfId="53" xr:uid="{FDA20A22-3DCC-474F-9D0A-D6E9D4EB6589}"/>
    <cellStyle name="Heading 2 3" xfId="66" xr:uid="{D6B30BAB-E10B-4C18-A07C-6D3879C9E85E}"/>
    <cellStyle name="Heading 3 2" xfId="54" xr:uid="{70127291-D7C4-4BFE-85BD-C7851B2B9CEC}"/>
    <cellStyle name="Heading 3 3" xfId="67" xr:uid="{60BC20B3-0273-4555-AC06-99B47089E26D}"/>
    <cellStyle name="Heading 4 2" xfId="55" xr:uid="{50D65056-C74C-42C7-AD6C-D13D94368A7E}"/>
    <cellStyle name="Heading 4 3" xfId="68" xr:uid="{9550DE62-46BD-4AA5-BDD6-9BC2F09FCB60}"/>
    <cellStyle name="Hyperlink 2" xfId="6" xr:uid="{9AA53304-5DC7-4C5E-B581-7BE5EC4C4D07}"/>
    <cellStyle name="Hyperlink 2 2" xfId="21" xr:uid="{278B58CD-26ED-4B94-8984-13E40975C461}"/>
    <cellStyle name="Hyperlink 3" xfId="115" xr:uid="{052B90C9-F6FC-4307-AF12-0EA086308A69}"/>
    <cellStyle name="Input 2" xfId="56" xr:uid="{66042AE2-2DF1-484C-8D5F-AF076C6DAF57}"/>
    <cellStyle name="Input 3" xfId="72" xr:uid="{68CFB711-068F-43F9-BCB8-59E05F24ACDB}"/>
    <cellStyle name="Linked Cell 2" xfId="57" xr:uid="{8C3AC70D-4FE6-4231-81E7-BE2D9B1D15F0}"/>
    <cellStyle name="Linked Cell 3" xfId="75" xr:uid="{4EE3793E-75AB-47D8-8231-9B49D71A7469}"/>
    <cellStyle name="Neutral 2" xfId="58" xr:uid="{86A5F225-7A09-4FF4-82FC-7B788D0C6335}"/>
    <cellStyle name="Neutral 3" xfId="71" xr:uid="{51BB69F1-405D-42C5-8BF5-9728EA244041}"/>
    <cellStyle name="Normal" xfId="0" builtinId="0"/>
    <cellStyle name="Normal 10" xfId="2" xr:uid="{86D95E0F-763A-428A-AF84-5220EDF10F83}"/>
    <cellStyle name="Normal 10 2" xfId="8" xr:uid="{9F8F45F0-5104-4192-8E84-BAC73081BD88}"/>
    <cellStyle name="Normal 11" xfId="145" xr:uid="{26DFCA6D-FC49-453A-BA6E-1F59C194B8BA}"/>
    <cellStyle name="Normal 13" xfId="16" xr:uid="{DF931D6D-6110-4329-8947-7F2F881EF8BA}"/>
    <cellStyle name="Normal 14" xfId="17" xr:uid="{868C44D6-BE14-4061-BE8F-9B4F06EBE016}"/>
    <cellStyle name="Normal 14 2" xfId="5" xr:uid="{75339A6C-A0BE-4267-81C9-EB07A94B7897}"/>
    <cellStyle name="Normal 14 2 2" xfId="10" xr:uid="{BBF27760-4BB1-4C5A-9A45-48E1836F9567}"/>
    <cellStyle name="Normal 16" xfId="3" xr:uid="{77180038-A784-4FDB-B881-BCA63D40A470}"/>
    <cellStyle name="Normal 16 2" xfId="9" xr:uid="{AB97D443-A88C-4938-9391-890BB63D0BD7}"/>
    <cellStyle name="Normal 17" xfId="14" xr:uid="{53466150-F76F-4FC9-8532-E7E71E77F024}"/>
    <cellStyle name="Normal 17 2" xfId="15" xr:uid="{7C136409-7055-4087-83FD-7DD8DF943932}"/>
    <cellStyle name="Normal 17 2 2" xfId="111" xr:uid="{4C8CA8F4-2C23-4C45-9265-E58E1B81B782}"/>
    <cellStyle name="Normal 17 3" xfId="110" xr:uid="{1FA2FED6-045D-4682-AACF-550E804F0D8F}"/>
    <cellStyle name="Normal 2" xfId="1" xr:uid="{4A75D8EB-0E44-474D-8906-4CFE9CA27B6A}"/>
    <cellStyle name="Normal 2 2" xfId="4" xr:uid="{7C180AA4-DD1A-4BD2-8B7C-ED4B6180B366}"/>
    <cellStyle name="Normal 2 2 2" xfId="59" xr:uid="{2CF0C7E8-7E7C-47C3-8C68-80AEBA639D1B}"/>
    <cellStyle name="Normal 2 3" xfId="18" xr:uid="{49D80994-D552-4AA2-8474-B60611CCB99E}"/>
    <cellStyle name="Normal 2 3 2" xfId="112" xr:uid="{E1CE3534-4821-4D9C-BB91-4B974B10E828}"/>
    <cellStyle name="Normal 2 4" xfId="109" xr:uid="{8C5ECA33-94CA-4288-AC13-1EEC0090D88C}"/>
    <cellStyle name="Normal 3" xfId="12" xr:uid="{FC5C53B0-582D-42B8-9CF6-1854EBBEB951}"/>
    <cellStyle name="Normal 3 2" xfId="60" xr:uid="{205EBC78-A850-4F54-8D75-B4826C4A554C}"/>
    <cellStyle name="Normal 3 3" xfId="113" xr:uid="{4813E685-4656-41E3-B877-FD53B4E90837}"/>
    <cellStyle name="Normal 3 4" xfId="19" xr:uid="{490DB96C-57AB-4207-BC59-04CF2C9B8842}"/>
    <cellStyle name="Normal 4" xfId="20" xr:uid="{8F99D531-30B3-4736-817E-5D402D8DDF16}"/>
    <cellStyle name="Normal 4 2" xfId="104" xr:uid="{01FFEC7E-CC56-4C1A-8803-C82DA8084F2C}"/>
    <cellStyle name="Normal 4 3" xfId="114" xr:uid="{83B46C9A-7326-4947-A88D-F17C24673A35}"/>
    <cellStyle name="Normal 5" xfId="106" xr:uid="{989C327F-5100-419B-B6BF-831B5520F682}"/>
    <cellStyle name="Normal 5 2" xfId="142" xr:uid="{B5A11ABF-7412-43FD-9E82-91CFF8EE17A4}"/>
    <cellStyle name="Normal 6" xfId="107" xr:uid="{999FC29D-24E5-47EF-BD87-51F4E97F2BBF}"/>
    <cellStyle name="Normal 7" xfId="108" xr:uid="{620F675A-293D-40B5-A74D-B6886B6B2F80}"/>
    <cellStyle name="Normal 8" xfId="7" xr:uid="{FF711ADC-E8F1-416B-9831-028E7568A375}"/>
    <cellStyle name="Normal 8 2" xfId="11" xr:uid="{B5EE6316-C69C-438A-931D-EA120F9A8BF9}"/>
    <cellStyle name="Normal 9" xfId="143" xr:uid="{CCC2C1B4-B0C2-4870-B94C-532CD1FC9FDE}"/>
    <cellStyle name="Normal 9 2" xfId="13" xr:uid="{A0CB2FFC-3320-462C-A0B4-7A564CC80EF5}"/>
    <cellStyle name="Normal 9 2 2" xfId="144" xr:uid="{6A7F4589-DDF7-42CB-83FE-532FF991FCFA}"/>
    <cellStyle name="Note 2" xfId="61" xr:uid="{DB406694-E249-40A3-ACAD-946EE26D20C0}"/>
    <cellStyle name="Note 2 2" xfId="128" xr:uid="{DC4ED3BC-1CEA-46E3-8134-198F284741B0}"/>
    <cellStyle name="Note 3" xfId="105" xr:uid="{592A5509-4ACC-4BF8-92AE-194DCE20F23E}"/>
    <cellStyle name="Note 3 2" xfId="141" xr:uid="{D880CFF2-7839-4D98-B01E-BB89929EA858}"/>
    <cellStyle name="Output 2" xfId="62" xr:uid="{AF05AF2C-B858-4264-91C8-05350BDA0D38}"/>
    <cellStyle name="Output 3" xfId="73" xr:uid="{8C542BF0-3CC9-4C26-BA40-998878DBB3E5}"/>
    <cellStyle name="Title 2" xfId="22" xr:uid="{AAF06157-7D9E-4A16-A465-1B76F8661583}"/>
    <cellStyle name="Total 2" xfId="63" xr:uid="{893D6AC5-0CC3-4EF1-AE8C-383766ECA93F}"/>
    <cellStyle name="Total 3" xfId="79" xr:uid="{E4A3684C-543E-4E2D-BA2B-78F81F4147C8}"/>
    <cellStyle name="Warning Text 2" xfId="64" xr:uid="{6AA304F9-3080-4D1B-91AF-8EC1FA110210}"/>
    <cellStyle name="Warning Text 3" xfId="77" xr:uid="{3FBEA96B-8B9C-454B-8473-558772A61669}"/>
  </cellStyles>
  <dxfs count="1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1457325</xdr:colOff>
          <xdr:row>1</xdr:row>
          <xdr:rowOff>238125</xdr:rowOff>
        </xdr:from>
        <xdr:to>
          <xdr:col>20</xdr:col>
          <xdr:colOff>0</xdr:colOff>
          <xdr:row>3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Aptos Narrow"/>
                </a:rPr>
                <a:t>NET STUBS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52B2E-1604-4E0E-8F16-3341D3525EB2}">
  <sheetPr codeName="Sheet26"/>
  <dimension ref="A1:Z262"/>
  <sheetViews>
    <sheetView zoomScale="70" zoomScaleNormal="70" workbookViewId="0">
      <selection activeCell="B2" sqref="B2:F37"/>
    </sheetView>
  </sheetViews>
  <sheetFormatPr defaultRowHeight="15" x14ac:dyDescent="0.25"/>
  <cols>
    <col min="1" max="1" width="16.7109375" customWidth="1"/>
    <col min="2" max="2" width="52" customWidth="1"/>
    <col min="3" max="3" width="21.42578125" customWidth="1"/>
    <col min="7" max="7" width="30.28515625" customWidth="1"/>
    <col min="8" max="8" width="30.5703125" customWidth="1"/>
    <col min="9" max="9" width="23.42578125" customWidth="1"/>
    <col min="10" max="10" width="16.85546875" customWidth="1"/>
    <col min="11" max="11" width="36.42578125" customWidth="1"/>
    <col min="19" max="19" width="31.28515625" style="22" customWidth="1"/>
    <col min="20" max="20" width="41.7109375" customWidth="1"/>
    <col min="21" max="21" width="31.7109375" customWidth="1"/>
    <col min="25" max="25" width="14.7109375" style="23" customWidth="1"/>
    <col min="26" max="26" width="50" style="23" customWidth="1"/>
  </cols>
  <sheetData>
    <row r="1" spans="1:26" ht="64.150000000000006" customHeight="1" x14ac:dyDescent="0.25">
      <c r="A1" s="18" t="s">
        <v>533</v>
      </c>
      <c r="B1" s="1" t="s">
        <v>536</v>
      </c>
      <c r="C1" s="2" t="s">
        <v>534</v>
      </c>
      <c r="D1" t="s">
        <v>535</v>
      </c>
      <c r="E1" t="s">
        <v>325</v>
      </c>
      <c r="F1" t="s">
        <v>324</v>
      </c>
      <c r="G1" s="3" t="s">
        <v>13</v>
      </c>
      <c r="H1" s="3" t="s">
        <v>330</v>
      </c>
      <c r="I1" t="s">
        <v>523</v>
      </c>
      <c r="J1" t="s">
        <v>537</v>
      </c>
      <c r="S1" s="18" t="s">
        <v>13</v>
      </c>
      <c r="T1" s="1" t="s">
        <v>321</v>
      </c>
      <c r="U1" s="2" t="s">
        <v>15</v>
      </c>
      <c r="V1" t="s">
        <v>317</v>
      </c>
      <c r="W1" t="s">
        <v>325</v>
      </c>
      <c r="X1" t="s">
        <v>324</v>
      </c>
      <c r="Y1" s="23" t="s">
        <v>13</v>
      </c>
      <c r="Z1" s="23" t="s">
        <v>14</v>
      </c>
    </row>
    <row r="2" spans="1:26" ht="15.75" x14ac:dyDescent="0.25">
      <c r="A2" s="6" t="s">
        <v>351</v>
      </c>
      <c r="B2" s="15" t="s">
        <v>0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65" si="0">IF(A2="","",A2)</f>
        <v>1001+1002+1066+1067+1068+1070+1071+1086+1064+1110+3012+1099+1177+1108+1154+1155+1156+1160+1175+1102+3028+3039+3068+1127+1141+1142+1143+1144+3015+3040+1146+1209+1212+1003+1194+1199+3011+3065+1213+1214+1215+1195+3009+1190+3010+3072+3022+3023+3025+3099+3100+3106+3109+3110+3111+1004+1077+1005+1006+1072+1116+1007+1036+1124+3069+1037+3070+3071+1048+1049+1065+3017+1069+1107+1126+1125+1129+1130+3020+3024+1140+1145+1153+3075+1165+1166+1169+1186+3054+3004+3006+3007+3044+3091+3115+3112</v>
      </c>
      <c r="H2" t="str">
        <f t="shared" ref="H2:H65" si="1">_xlfn.CONCAT(D2,SUBSTITUTE(B2,"""","`"""),E2)</f>
        <v>`BACHELOR OF ARTS (NET)&lt;Q&gt;</v>
      </c>
      <c r="I2" t="s">
        <v>518</v>
      </c>
      <c r="J2" t="str">
        <f t="shared" ref="J2:J65" si="2">_xlfn.CONCAT(I2,H2)</f>
        <v>&lt;G1B&gt;`BACHELOR OF ARTS (NET)&lt;Q&gt;</v>
      </c>
      <c r="S2" s="19" t="s">
        <v>351</v>
      </c>
      <c r="T2" s="12" t="s">
        <v>0</v>
      </c>
      <c r="U2" t="s">
        <v>6</v>
      </c>
      <c r="V2" t="s">
        <v>323</v>
      </c>
      <c r="W2" t="s">
        <v>322</v>
      </c>
      <c r="X2" t="s">
        <v>327</v>
      </c>
      <c r="Y2" s="23" t="str">
        <f>IF(S2="","",S2)</f>
        <v>1001+1002+1066+1067+1068+1070+1071+1086+1064+1110+3012+1099+1177+1108+1154+1155+1156+1160+1175+1102+3028+3039+3068+1127+1141+1142+1143+1144+3015+3040+1146+1209+1212+1003+1194+1199+3011+3065+1213+1214+1215+1195+3009+1190+3010+3072+3022+3023+3025+3099+3100+3106+3109+3110+3111+1004+1077+1005+1006+1072+1116+1007+1036+1124+3069+1037+3070+3071+1048+1049+1065+3017+1069+1107+1126+1125+1129+1130+3020+3024+1140+1145+1153+3075+1165+1166+1169+1186+3054+3004+3006+3007+3044+3091+3115+3112</v>
      </c>
      <c r="Z2" s="23" t="str">
        <f>V2&amp;T2&amp;W2</f>
        <v>`BACHELOR OF ARTS (NET)&lt;Q&gt;</v>
      </c>
    </row>
    <row r="3" spans="1:26" x14ac:dyDescent="0.25">
      <c r="A3" s="6" t="s">
        <v>352</v>
      </c>
      <c r="B3" s="8" t="s">
        <v>1</v>
      </c>
      <c r="C3" t="s">
        <v>5</v>
      </c>
      <c r="D3" t="s">
        <v>318</v>
      </c>
      <c r="E3" t="s">
        <v>322</v>
      </c>
      <c r="F3" t="s">
        <v>326</v>
      </c>
      <c r="G3" t="str">
        <f t="shared" si="0"/>
        <v>1001+1002+1066+1067+1068+1070+1071+1086+1064+1110+3012+1099+1177+1108+1154+1155+1156+1160+1175+1102+3028+3039+3068+1127+1141+1142+1143+1144+3015+3040+1146+1209+1212+1003+1194+1199+3011+3065+1213+1214+1215+1195+3009+1190+3010+3072+3022+3023+3025+3099+3100+3106+3109+3110+3111</v>
      </c>
      <c r="H3" t="str">
        <f t="shared" si="1"/>
        <v>`     ARTS AND LITERATURE (SUBNET)&lt;Q&gt;</v>
      </c>
      <c r="I3" t="s">
        <v>520</v>
      </c>
      <c r="J3" t="str">
        <f t="shared" si="2"/>
        <v>&lt;G2B&gt;&lt;G1P&gt;`     ARTS AND LITERATURE (SUBNET)&lt;Q&gt;</v>
      </c>
      <c r="S3" s="19" t="s">
        <v>352</v>
      </c>
      <c r="T3" s="13" t="s">
        <v>1</v>
      </c>
      <c r="U3" t="s">
        <v>5</v>
      </c>
      <c r="V3" t="s">
        <v>318</v>
      </c>
      <c r="W3" t="s">
        <v>322</v>
      </c>
      <c r="X3" t="s">
        <v>326</v>
      </c>
      <c r="Y3" s="23" t="str">
        <f t="shared" ref="Y3:Y66" si="3">IF(S3="","",S3)</f>
        <v>1001+1002+1066+1067+1068+1070+1071+1086+1064+1110+3012+1099+1177+1108+1154+1155+1156+1160+1175+1102+3028+3039+3068+1127+1141+1142+1143+1144+3015+3040+1146+1209+1212+1003+1194+1199+3011+3065+1213+1214+1215+1195+3009+1190+3010+3072+3022+3023+3025+3099+3100+3106+3109+3110+3111</v>
      </c>
      <c r="Z3" s="23" t="str">
        <f t="shared" ref="Z3:Z66" si="4">V3&amp;T3&amp;W3</f>
        <v>`     ARTS AND LITERATURE (SUBNET)&lt;Q&gt;</v>
      </c>
    </row>
    <row r="4" spans="1:26" x14ac:dyDescent="0.25">
      <c r="A4" s="6">
        <v>1001</v>
      </c>
      <c r="B4" s="7" t="s">
        <v>2</v>
      </c>
      <c r="C4" t="s">
        <v>16</v>
      </c>
      <c r="D4" t="s">
        <v>319</v>
      </c>
      <c r="F4" t="s">
        <v>328</v>
      </c>
      <c r="G4">
        <f t="shared" si="0"/>
        <v>1001</v>
      </c>
      <c r="H4" t="str">
        <f t="shared" si="1"/>
        <v>`          AB Film</v>
      </c>
      <c r="I4" t="s">
        <v>528</v>
      </c>
      <c r="J4" t="str">
        <f t="shared" si="2"/>
        <v>&lt;G3B&gt;&lt;G2P&gt;&lt;G1P&gt;`          AB Film</v>
      </c>
      <c r="S4" s="19">
        <v>1001</v>
      </c>
      <c r="T4" s="11" t="s">
        <v>2</v>
      </c>
      <c r="U4" t="s">
        <v>16</v>
      </c>
      <c r="V4" t="s">
        <v>320</v>
      </c>
      <c r="X4" t="s">
        <v>328</v>
      </c>
      <c r="Y4" s="23">
        <f t="shared" si="3"/>
        <v>1001</v>
      </c>
      <c r="Z4" s="23" t="str">
        <f t="shared" si="4"/>
        <v>`               AB Film</v>
      </c>
    </row>
    <row r="5" spans="1:26" x14ac:dyDescent="0.25">
      <c r="A5" s="6">
        <v>1002</v>
      </c>
      <c r="B5" s="7" t="s">
        <v>3</v>
      </c>
      <c r="C5" t="s">
        <v>16</v>
      </c>
      <c r="D5" t="s">
        <v>319</v>
      </c>
      <c r="F5" t="s">
        <v>328</v>
      </c>
      <c r="G5">
        <f t="shared" si="0"/>
        <v>1002</v>
      </c>
      <c r="H5" t="str">
        <f t="shared" si="1"/>
        <v>`          Theater Arts</v>
      </c>
      <c r="I5" t="s">
        <v>527</v>
      </c>
      <c r="J5" t="str">
        <f t="shared" si="2"/>
        <v>&lt;G2P&gt;&lt;G1P&gt;`          Theater Arts</v>
      </c>
      <c r="S5" s="19">
        <v>1002</v>
      </c>
      <c r="T5" s="11" t="s">
        <v>3</v>
      </c>
      <c r="U5" t="s">
        <v>16</v>
      </c>
      <c r="V5" t="s">
        <v>320</v>
      </c>
      <c r="X5" t="s">
        <v>328</v>
      </c>
      <c r="Y5" s="23">
        <f t="shared" si="3"/>
        <v>1002</v>
      </c>
      <c r="Z5" s="23" t="str">
        <f t="shared" si="4"/>
        <v>`               Theater Arts</v>
      </c>
    </row>
    <row r="6" spans="1:26" x14ac:dyDescent="0.25">
      <c r="A6" s="6">
        <v>1066</v>
      </c>
      <c r="B6" s="7" t="s">
        <v>4</v>
      </c>
      <c r="C6" t="s">
        <v>16</v>
      </c>
      <c r="D6" t="s">
        <v>319</v>
      </c>
      <c r="F6" t="s">
        <v>328</v>
      </c>
      <c r="G6">
        <f t="shared" si="0"/>
        <v>1066</v>
      </c>
      <c r="H6" t="str">
        <f t="shared" si="1"/>
        <v>`          AB Major in Economics</v>
      </c>
      <c r="I6" t="s">
        <v>527</v>
      </c>
      <c r="J6" t="str">
        <f t="shared" si="2"/>
        <v>&lt;G2P&gt;&lt;G1P&gt;`          AB Major in Economics</v>
      </c>
      <c r="S6" s="19">
        <v>1066</v>
      </c>
      <c r="T6" s="11" t="s">
        <v>4</v>
      </c>
      <c r="U6" t="s">
        <v>16</v>
      </c>
      <c r="V6" t="s">
        <v>320</v>
      </c>
      <c r="X6" t="s">
        <v>328</v>
      </c>
      <c r="Y6" s="23">
        <f t="shared" si="3"/>
        <v>1066</v>
      </c>
      <c r="Z6" s="23" t="str">
        <f t="shared" si="4"/>
        <v>`               AB Major in Economics</v>
      </c>
    </row>
    <row r="7" spans="1:26" x14ac:dyDescent="0.25">
      <c r="A7" s="6">
        <v>1067</v>
      </c>
      <c r="B7" s="7" t="s">
        <v>17</v>
      </c>
      <c r="C7" t="s">
        <v>16</v>
      </c>
      <c r="D7" t="s">
        <v>319</v>
      </c>
      <c r="F7" t="s">
        <v>328</v>
      </c>
      <c r="G7">
        <f t="shared" si="0"/>
        <v>1067</v>
      </c>
      <c r="H7" t="str">
        <f t="shared" si="1"/>
        <v>`          AB History</v>
      </c>
      <c r="I7" t="s">
        <v>527</v>
      </c>
      <c r="J7" t="str">
        <f t="shared" si="2"/>
        <v>&lt;G2P&gt;&lt;G1P&gt;`          AB History</v>
      </c>
      <c r="S7" s="19">
        <v>1067</v>
      </c>
      <c r="T7" s="11" t="s">
        <v>17</v>
      </c>
      <c r="U7" t="s">
        <v>16</v>
      </c>
      <c r="V7" t="s">
        <v>320</v>
      </c>
      <c r="X7" t="s">
        <v>328</v>
      </c>
      <c r="Y7" s="23">
        <f t="shared" si="3"/>
        <v>1067</v>
      </c>
      <c r="Z7" s="23" t="str">
        <f t="shared" si="4"/>
        <v>`               AB History</v>
      </c>
    </row>
    <row r="8" spans="1:26" x14ac:dyDescent="0.25">
      <c r="A8" s="6">
        <v>1068</v>
      </c>
      <c r="B8" s="7" t="s">
        <v>18</v>
      </c>
      <c r="C8" t="s">
        <v>16</v>
      </c>
      <c r="D8" t="s">
        <v>319</v>
      </c>
      <c r="F8" t="s">
        <v>328</v>
      </c>
      <c r="G8">
        <f t="shared" si="0"/>
        <v>1068</v>
      </c>
      <c r="H8" t="str">
        <f t="shared" si="1"/>
        <v>`          AB in Interdisciplinary Studies</v>
      </c>
      <c r="I8" t="s">
        <v>527</v>
      </c>
      <c r="J8" t="str">
        <f t="shared" si="2"/>
        <v>&lt;G2P&gt;&lt;G1P&gt;`          AB in Interdisciplinary Studies</v>
      </c>
      <c r="S8" s="19">
        <v>1068</v>
      </c>
      <c r="T8" s="11" t="s">
        <v>18</v>
      </c>
      <c r="U8" t="s">
        <v>16</v>
      </c>
      <c r="V8" t="s">
        <v>320</v>
      </c>
      <c r="X8" t="s">
        <v>328</v>
      </c>
      <c r="Y8" s="23">
        <f t="shared" si="3"/>
        <v>1068</v>
      </c>
      <c r="Z8" s="23" t="str">
        <f t="shared" si="4"/>
        <v>`               AB in Interdisciplinary Studies</v>
      </c>
    </row>
    <row r="9" spans="1:26" x14ac:dyDescent="0.25">
      <c r="A9" s="6">
        <v>1070</v>
      </c>
      <c r="B9" s="7" t="s">
        <v>19</v>
      </c>
      <c r="C9" t="s">
        <v>16</v>
      </c>
      <c r="D9" t="s">
        <v>319</v>
      </c>
      <c r="F9" t="s">
        <v>328</v>
      </c>
      <c r="G9">
        <f t="shared" si="0"/>
        <v>1070</v>
      </c>
      <c r="H9" t="str">
        <f t="shared" si="1"/>
        <v>`          AB Sports Management</v>
      </c>
      <c r="I9" t="s">
        <v>527</v>
      </c>
      <c r="J9" t="str">
        <f t="shared" si="2"/>
        <v>&lt;G2P&gt;&lt;G1P&gt;`          AB Sports Management</v>
      </c>
      <c r="S9" s="19">
        <v>1070</v>
      </c>
      <c r="T9" s="11" t="s">
        <v>19</v>
      </c>
      <c r="U9" t="s">
        <v>16</v>
      </c>
      <c r="V9" t="s">
        <v>320</v>
      </c>
      <c r="X9" t="s">
        <v>328</v>
      </c>
      <c r="Y9" s="23">
        <f t="shared" si="3"/>
        <v>1070</v>
      </c>
      <c r="Z9" s="23" t="str">
        <f t="shared" si="4"/>
        <v>`               AB Sports Management</v>
      </c>
    </row>
    <row r="10" spans="1:26" x14ac:dyDescent="0.25">
      <c r="A10" s="6">
        <v>1071</v>
      </c>
      <c r="B10" s="7" t="s">
        <v>20</v>
      </c>
      <c r="C10" t="s">
        <v>16</v>
      </c>
      <c r="D10" t="s">
        <v>319</v>
      </c>
      <c r="F10" t="s">
        <v>328</v>
      </c>
      <c r="G10">
        <f t="shared" si="0"/>
        <v>1071</v>
      </c>
      <c r="H10" t="str">
        <f t="shared" si="1"/>
        <v>`          Applied Economics</v>
      </c>
      <c r="I10" t="s">
        <v>527</v>
      </c>
      <c r="J10" t="str">
        <f t="shared" si="2"/>
        <v>&lt;G2P&gt;&lt;G1P&gt;`          Applied Economics</v>
      </c>
      <c r="S10" s="19">
        <v>1071</v>
      </c>
      <c r="T10" s="11" t="s">
        <v>20</v>
      </c>
      <c r="U10" t="s">
        <v>16</v>
      </c>
      <c r="V10" t="s">
        <v>320</v>
      </c>
      <c r="X10" t="s">
        <v>328</v>
      </c>
      <c r="Y10" s="23">
        <f t="shared" si="3"/>
        <v>1071</v>
      </c>
      <c r="Z10" s="23" t="str">
        <f t="shared" si="4"/>
        <v>`               Applied Economics</v>
      </c>
    </row>
    <row r="11" spans="1:26" x14ac:dyDescent="0.25">
      <c r="A11" s="6" t="s">
        <v>21</v>
      </c>
      <c r="B11" s="7" t="s">
        <v>22</v>
      </c>
      <c r="C11" t="s">
        <v>16</v>
      </c>
      <c r="D11" t="s">
        <v>319</v>
      </c>
      <c r="F11" t="s">
        <v>328</v>
      </c>
      <c r="G11" t="str">
        <f t="shared" si="0"/>
        <v>1086+1064+1110+3012</v>
      </c>
      <c r="H11" t="str">
        <f t="shared" si="1"/>
        <v>`          BS International Studies</v>
      </c>
      <c r="I11" t="s">
        <v>527</v>
      </c>
      <c r="J11" t="str">
        <f t="shared" si="2"/>
        <v>&lt;G2P&gt;&lt;G1P&gt;`          BS International Studies</v>
      </c>
      <c r="S11" s="19" t="s">
        <v>21</v>
      </c>
      <c r="T11" s="11" t="s">
        <v>22</v>
      </c>
      <c r="U11" t="s">
        <v>16</v>
      </c>
      <c r="V11" t="s">
        <v>320</v>
      </c>
      <c r="X11" t="s">
        <v>328</v>
      </c>
      <c r="Y11" s="23" t="str">
        <f t="shared" si="3"/>
        <v>1086+1064+1110+3012</v>
      </c>
      <c r="Z11" s="23" t="str">
        <f t="shared" si="4"/>
        <v>`               BS International Studies</v>
      </c>
    </row>
    <row r="12" spans="1:26" x14ac:dyDescent="0.25">
      <c r="A12" s="6" t="s">
        <v>23</v>
      </c>
      <c r="B12" s="7" t="s">
        <v>24</v>
      </c>
      <c r="C12" t="s">
        <v>16</v>
      </c>
      <c r="D12" t="s">
        <v>319</v>
      </c>
      <c r="F12" t="s">
        <v>328</v>
      </c>
      <c r="G12" t="str">
        <f t="shared" si="0"/>
        <v>1099+1177</v>
      </c>
      <c r="H12" t="str">
        <f t="shared" si="1"/>
        <v>`          BS Entertainment and Multimedia Computing</v>
      </c>
      <c r="I12" t="s">
        <v>527</v>
      </c>
      <c r="J12" t="str">
        <f t="shared" si="2"/>
        <v>&lt;G2P&gt;&lt;G1P&gt;`          BS Entertainment and Multimedia Computing</v>
      </c>
      <c r="S12" s="19" t="s">
        <v>23</v>
      </c>
      <c r="T12" s="11" t="s">
        <v>24</v>
      </c>
      <c r="U12" t="s">
        <v>16</v>
      </c>
      <c r="V12" t="s">
        <v>320</v>
      </c>
      <c r="X12" t="s">
        <v>328</v>
      </c>
      <c r="Y12" s="23" t="str">
        <f t="shared" si="3"/>
        <v>1099+1177</v>
      </c>
      <c r="Z12" s="23" t="str">
        <f t="shared" si="4"/>
        <v>`               BS Entertainment and Multimedia Computing</v>
      </c>
    </row>
    <row r="13" spans="1:26" x14ac:dyDescent="0.25">
      <c r="A13" s="6" t="s">
        <v>25</v>
      </c>
      <c r="B13" s="7" t="s">
        <v>26</v>
      </c>
      <c r="C13" t="s">
        <v>16</v>
      </c>
      <c r="D13" t="s">
        <v>319</v>
      </c>
      <c r="F13" t="s">
        <v>328</v>
      </c>
      <c r="G13" t="str">
        <f t="shared" si="0"/>
        <v>1108+1154+1155+1156+1160+1175+1102+3028+3039+3068</v>
      </c>
      <c r="H13" t="str">
        <f t="shared" si="1"/>
        <v>`          Fine Arts</v>
      </c>
      <c r="I13" t="s">
        <v>527</v>
      </c>
      <c r="J13" t="str">
        <f t="shared" si="2"/>
        <v>&lt;G2P&gt;&lt;G1P&gt;`          Fine Arts</v>
      </c>
      <c r="S13" s="19" t="s">
        <v>25</v>
      </c>
      <c r="T13" s="11" t="s">
        <v>26</v>
      </c>
      <c r="U13" t="s">
        <v>16</v>
      </c>
      <c r="V13" t="s">
        <v>320</v>
      </c>
      <c r="X13" t="s">
        <v>328</v>
      </c>
      <c r="Y13" s="23" t="str">
        <f t="shared" si="3"/>
        <v>1108+1154+1155+1156+1160+1175+1102+3028+3039+3068</v>
      </c>
      <c r="Z13" s="23" t="str">
        <f t="shared" si="4"/>
        <v>`               Fine Arts</v>
      </c>
    </row>
    <row r="14" spans="1:26" x14ac:dyDescent="0.25">
      <c r="A14" s="6">
        <v>1127</v>
      </c>
      <c r="B14" s="7" t="s">
        <v>27</v>
      </c>
      <c r="C14" t="s">
        <v>16</v>
      </c>
      <c r="D14" t="s">
        <v>319</v>
      </c>
      <c r="F14" t="s">
        <v>328</v>
      </c>
      <c r="G14">
        <f t="shared" si="0"/>
        <v>1127</v>
      </c>
      <c r="H14" t="str">
        <f t="shared" si="1"/>
        <v>`          AB Literature Malikhaing Pagsulat</v>
      </c>
      <c r="I14" t="s">
        <v>527</v>
      </c>
      <c r="J14" t="str">
        <f t="shared" si="2"/>
        <v>&lt;G2P&gt;&lt;G1P&gt;`          AB Literature Malikhaing Pagsulat</v>
      </c>
      <c r="S14" s="19">
        <v>1127</v>
      </c>
      <c r="T14" s="11" t="s">
        <v>27</v>
      </c>
      <c r="U14" t="s">
        <v>16</v>
      </c>
      <c r="V14" t="s">
        <v>320</v>
      </c>
      <c r="X14" t="s">
        <v>328</v>
      </c>
      <c r="Y14" s="23">
        <f t="shared" si="3"/>
        <v>1127</v>
      </c>
      <c r="Z14" s="23" t="str">
        <f t="shared" si="4"/>
        <v>`               AB Literature Malikhaing Pagsulat</v>
      </c>
    </row>
    <row r="15" spans="1:26" x14ac:dyDescent="0.25">
      <c r="A15" s="6">
        <v>1141</v>
      </c>
      <c r="B15" s="7" t="s">
        <v>28</v>
      </c>
      <c r="C15" t="s">
        <v>16</v>
      </c>
      <c r="D15" t="s">
        <v>319</v>
      </c>
      <c r="F15" t="s">
        <v>328</v>
      </c>
      <c r="G15">
        <f t="shared" si="0"/>
        <v>1141</v>
      </c>
      <c r="H15" t="str">
        <f t="shared" si="1"/>
        <v>`          BA Comparative Literature</v>
      </c>
      <c r="I15" t="s">
        <v>527</v>
      </c>
      <c r="J15" t="str">
        <f t="shared" si="2"/>
        <v>&lt;G2P&gt;&lt;G1P&gt;`          BA Comparative Literature</v>
      </c>
      <c r="S15" s="19">
        <v>1141</v>
      </c>
      <c r="T15" s="11" t="s">
        <v>28</v>
      </c>
      <c r="U15" t="s">
        <v>16</v>
      </c>
      <c r="V15" t="s">
        <v>320</v>
      </c>
      <c r="X15" t="s">
        <v>328</v>
      </c>
      <c r="Y15" s="23">
        <f t="shared" si="3"/>
        <v>1141</v>
      </c>
      <c r="Z15" s="23" t="str">
        <f t="shared" si="4"/>
        <v>`               BA Comparative Literature</v>
      </c>
    </row>
    <row r="16" spans="1:26" x14ac:dyDescent="0.25">
      <c r="A16" s="6">
        <v>1142</v>
      </c>
      <c r="B16" s="7" t="s">
        <v>29</v>
      </c>
      <c r="C16" t="s">
        <v>16</v>
      </c>
      <c r="D16" t="s">
        <v>319</v>
      </c>
      <c r="F16" t="s">
        <v>328</v>
      </c>
      <c r="G16">
        <f t="shared" si="0"/>
        <v>1142</v>
      </c>
      <c r="H16" t="str">
        <f t="shared" si="1"/>
        <v>`          BA Journalism</v>
      </c>
      <c r="I16" t="s">
        <v>527</v>
      </c>
      <c r="J16" t="str">
        <f t="shared" si="2"/>
        <v>&lt;G2P&gt;&lt;G1P&gt;`          BA Journalism</v>
      </c>
      <c r="S16" s="19">
        <v>1142</v>
      </c>
      <c r="T16" s="11" t="s">
        <v>29</v>
      </c>
      <c r="U16" t="s">
        <v>16</v>
      </c>
      <c r="V16" t="s">
        <v>320</v>
      </c>
      <c r="X16" t="s">
        <v>328</v>
      </c>
      <c r="Y16" s="23">
        <f t="shared" si="3"/>
        <v>1142</v>
      </c>
      <c r="Z16" s="23" t="str">
        <f t="shared" si="4"/>
        <v>`               BA Journalism</v>
      </c>
    </row>
    <row r="17" spans="1:26" x14ac:dyDescent="0.25">
      <c r="A17" s="6">
        <v>1143</v>
      </c>
      <c r="B17" s="7" t="s">
        <v>30</v>
      </c>
      <c r="C17" t="s">
        <v>16</v>
      </c>
      <c r="D17" t="s">
        <v>319</v>
      </c>
      <c r="F17" t="s">
        <v>328</v>
      </c>
      <c r="G17">
        <f t="shared" si="0"/>
        <v>1143</v>
      </c>
      <c r="H17" t="str">
        <f t="shared" si="1"/>
        <v>`          BA Linguistics</v>
      </c>
      <c r="I17" t="s">
        <v>527</v>
      </c>
      <c r="J17" t="str">
        <f t="shared" si="2"/>
        <v>&lt;G2P&gt;&lt;G1P&gt;`          BA Linguistics</v>
      </c>
      <c r="S17" s="19">
        <v>1143</v>
      </c>
      <c r="T17" s="11" t="s">
        <v>30</v>
      </c>
      <c r="U17" t="s">
        <v>16</v>
      </c>
      <c r="V17" t="s">
        <v>320</v>
      </c>
      <c r="X17" t="s">
        <v>328</v>
      </c>
      <c r="Y17" s="23">
        <f t="shared" si="3"/>
        <v>1143</v>
      </c>
      <c r="Z17" s="23" t="str">
        <f t="shared" si="4"/>
        <v>`               BA Linguistics</v>
      </c>
    </row>
    <row r="18" spans="1:26" x14ac:dyDescent="0.25">
      <c r="A18" s="6" t="s">
        <v>31</v>
      </c>
      <c r="B18" s="7" t="s">
        <v>32</v>
      </c>
      <c r="C18" t="s">
        <v>16</v>
      </c>
      <c r="D18" t="s">
        <v>319</v>
      </c>
      <c r="F18" t="s">
        <v>328</v>
      </c>
      <c r="G18" t="str">
        <f t="shared" si="0"/>
        <v>1144+3015+3040</v>
      </c>
      <c r="H18" t="str">
        <f t="shared" si="1"/>
        <v>`          BA Music</v>
      </c>
      <c r="I18" t="s">
        <v>527</v>
      </c>
      <c r="J18" t="str">
        <f t="shared" si="2"/>
        <v>&lt;G2P&gt;&lt;G1P&gt;`          BA Music</v>
      </c>
      <c r="S18" s="19" t="s">
        <v>31</v>
      </c>
      <c r="T18" s="11" t="s">
        <v>32</v>
      </c>
      <c r="U18" t="s">
        <v>16</v>
      </c>
      <c r="V18" t="s">
        <v>320</v>
      </c>
      <c r="X18" t="s">
        <v>328</v>
      </c>
      <c r="Y18" s="23" t="str">
        <f t="shared" si="3"/>
        <v>1144+3015+3040</v>
      </c>
      <c r="Z18" s="23" t="str">
        <f t="shared" si="4"/>
        <v>`               BA Music</v>
      </c>
    </row>
    <row r="19" spans="1:26" x14ac:dyDescent="0.25">
      <c r="A19" s="6">
        <v>1146</v>
      </c>
      <c r="B19" s="7" t="s">
        <v>33</v>
      </c>
      <c r="C19" t="s">
        <v>16</v>
      </c>
      <c r="D19" t="s">
        <v>319</v>
      </c>
      <c r="F19" t="s">
        <v>328</v>
      </c>
      <c r="G19">
        <f t="shared" si="0"/>
        <v>1146</v>
      </c>
      <c r="H19" t="str">
        <f t="shared" si="1"/>
        <v>`          BA Speech Communication</v>
      </c>
      <c r="I19" t="s">
        <v>527</v>
      </c>
      <c r="J19" t="str">
        <f t="shared" si="2"/>
        <v>&lt;G2P&gt;&lt;G1P&gt;`          BA Speech Communication</v>
      </c>
      <c r="S19" s="19">
        <v>1146</v>
      </c>
      <c r="T19" s="11" t="s">
        <v>33</v>
      </c>
      <c r="U19" t="s">
        <v>16</v>
      </c>
      <c r="V19" t="s">
        <v>320</v>
      </c>
      <c r="X19" t="s">
        <v>328</v>
      </c>
      <c r="Y19" s="23">
        <f t="shared" si="3"/>
        <v>1146</v>
      </c>
      <c r="Z19" s="23" t="str">
        <f t="shared" si="4"/>
        <v>`               BA Speech Communication</v>
      </c>
    </row>
    <row r="20" spans="1:26" x14ac:dyDescent="0.25">
      <c r="A20" s="6">
        <v>1209</v>
      </c>
      <c r="B20" s="7" t="s">
        <v>34</v>
      </c>
      <c r="C20" t="s">
        <v>16</v>
      </c>
      <c r="D20" t="s">
        <v>319</v>
      </c>
      <c r="F20" t="s">
        <v>328</v>
      </c>
      <c r="G20">
        <f t="shared" si="0"/>
        <v>1209</v>
      </c>
      <c r="H20" t="str">
        <f t="shared" si="1"/>
        <v>`          Speech and Theatre</v>
      </c>
      <c r="I20" t="s">
        <v>527</v>
      </c>
      <c r="J20" t="str">
        <f t="shared" si="2"/>
        <v>&lt;G2P&gt;&lt;G1P&gt;`          Speech and Theatre</v>
      </c>
      <c r="S20" s="19">
        <v>1209</v>
      </c>
      <c r="T20" s="11" t="s">
        <v>34</v>
      </c>
      <c r="U20" t="s">
        <v>16</v>
      </c>
      <c r="V20" t="s">
        <v>320</v>
      </c>
      <c r="X20" t="s">
        <v>328</v>
      </c>
      <c r="Y20" s="23">
        <f t="shared" si="3"/>
        <v>1209</v>
      </c>
      <c r="Z20" s="23" t="str">
        <f t="shared" si="4"/>
        <v>`               Speech and Theatre</v>
      </c>
    </row>
    <row r="21" spans="1:26" x14ac:dyDescent="0.25">
      <c r="A21" s="6" t="s">
        <v>35</v>
      </c>
      <c r="B21" s="7" t="s">
        <v>36</v>
      </c>
      <c r="C21" t="s">
        <v>16</v>
      </c>
      <c r="D21" t="s">
        <v>319</v>
      </c>
      <c r="F21" t="s">
        <v>328</v>
      </c>
      <c r="G21" t="str">
        <f t="shared" si="0"/>
        <v>1212+1003+1194+1199+3011+3065</v>
      </c>
      <c r="H21" t="str">
        <f t="shared" si="1"/>
        <v>`          BA English Language Studies</v>
      </c>
      <c r="I21" t="s">
        <v>527</v>
      </c>
      <c r="J21" t="str">
        <f t="shared" si="2"/>
        <v>&lt;G2P&gt;&lt;G1P&gt;`          BA English Language Studies</v>
      </c>
      <c r="S21" s="19" t="s">
        <v>35</v>
      </c>
      <c r="T21" s="11" t="s">
        <v>36</v>
      </c>
      <c r="U21" t="s">
        <v>16</v>
      </c>
      <c r="V21" t="s">
        <v>320</v>
      </c>
      <c r="X21" t="s">
        <v>328</v>
      </c>
      <c r="Y21" s="23" t="str">
        <f t="shared" si="3"/>
        <v>1212+1003+1194+1199+3011+3065</v>
      </c>
      <c r="Z21" s="23" t="str">
        <f t="shared" si="4"/>
        <v>`               BA English Language Studies</v>
      </c>
    </row>
    <row r="22" spans="1:26" x14ac:dyDescent="0.25">
      <c r="A22" s="6">
        <v>1213</v>
      </c>
      <c r="B22" s="7" t="s">
        <v>37</v>
      </c>
      <c r="C22" t="s">
        <v>16</v>
      </c>
      <c r="D22" t="s">
        <v>319</v>
      </c>
      <c r="F22" t="s">
        <v>328</v>
      </c>
      <c r="G22">
        <f t="shared" si="0"/>
        <v>1213</v>
      </c>
      <c r="H22" t="str">
        <f t="shared" si="1"/>
        <v>`          BA Literary and Cultural Studies</v>
      </c>
      <c r="I22" t="s">
        <v>527</v>
      </c>
      <c r="J22" t="str">
        <f t="shared" si="2"/>
        <v>&lt;G2P&gt;&lt;G1P&gt;`          BA Literary and Cultural Studies</v>
      </c>
      <c r="S22" s="19">
        <v>1213</v>
      </c>
      <c r="T22" s="11" t="s">
        <v>37</v>
      </c>
      <c r="U22" t="s">
        <v>16</v>
      </c>
      <c r="V22" t="s">
        <v>320</v>
      </c>
      <c r="X22" t="s">
        <v>328</v>
      </c>
      <c r="Y22" s="23">
        <f t="shared" si="3"/>
        <v>1213</v>
      </c>
      <c r="Z22" s="23" t="str">
        <f t="shared" si="4"/>
        <v>`               BA Literary and Cultural Studies</v>
      </c>
    </row>
    <row r="23" spans="1:26" x14ac:dyDescent="0.25">
      <c r="A23" s="6">
        <v>1214</v>
      </c>
      <c r="B23" s="7" t="s">
        <v>38</v>
      </c>
      <c r="C23" t="s">
        <v>16</v>
      </c>
      <c r="D23" t="s">
        <v>319</v>
      </c>
      <c r="F23" t="s">
        <v>328</v>
      </c>
      <c r="G23">
        <f t="shared" si="0"/>
        <v>1214</v>
      </c>
      <c r="H23" t="str">
        <f t="shared" si="1"/>
        <v>`          BA Islamic Studies</v>
      </c>
      <c r="I23" t="s">
        <v>527</v>
      </c>
      <c r="J23" t="str">
        <f t="shared" si="2"/>
        <v>&lt;G2P&gt;&lt;G1P&gt;`          BA Islamic Studies</v>
      </c>
      <c r="S23" s="19">
        <v>1214</v>
      </c>
      <c r="T23" s="11" t="s">
        <v>38</v>
      </c>
      <c r="U23" t="s">
        <v>16</v>
      </c>
      <c r="V23" t="s">
        <v>320</v>
      </c>
      <c r="X23" t="s">
        <v>328</v>
      </c>
      <c r="Y23" s="23">
        <f t="shared" si="3"/>
        <v>1214</v>
      </c>
      <c r="Z23" s="23" t="str">
        <f t="shared" si="4"/>
        <v>`               BA Islamic Studies</v>
      </c>
    </row>
    <row r="24" spans="1:26" x14ac:dyDescent="0.25">
      <c r="A24" s="6">
        <v>1215</v>
      </c>
      <c r="B24" s="7" t="s">
        <v>39</v>
      </c>
      <c r="C24" t="s">
        <v>16</v>
      </c>
      <c r="D24" t="s">
        <v>319</v>
      </c>
      <c r="F24" t="s">
        <v>328</v>
      </c>
      <c r="G24">
        <f t="shared" si="0"/>
        <v>1215</v>
      </c>
      <c r="H24" t="str">
        <f t="shared" si="1"/>
        <v>`          AB Filipino</v>
      </c>
      <c r="I24" t="s">
        <v>527</v>
      </c>
      <c r="J24" t="str">
        <f t="shared" si="2"/>
        <v>&lt;G2P&gt;&lt;G1P&gt;`          AB Filipino</v>
      </c>
      <c r="S24" s="19">
        <v>1215</v>
      </c>
      <c r="T24" s="11" t="s">
        <v>39</v>
      </c>
      <c r="U24" t="s">
        <v>16</v>
      </c>
      <c r="V24" t="s">
        <v>320</v>
      </c>
      <c r="X24" t="s">
        <v>328</v>
      </c>
      <c r="Y24" s="23">
        <f t="shared" si="3"/>
        <v>1215</v>
      </c>
      <c r="Z24" s="23" t="str">
        <f t="shared" si="4"/>
        <v>`               AB Filipino</v>
      </c>
    </row>
    <row r="25" spans="1:26" x14ac:dyDescent="0.25">
      <c r="A25" s="6" t="s">
        <v>40</v>
      </c>
      <c r="B25" s="7" t="s">
        <v>41</v>
      </c>
      <c r="C25" t="s">
        <v>16</v>
      </c>
      <c r="D25" t="s">
        <v>319</v>
      </c>
      <c r="F25" t="s">
        <v>328</v>
      </c>
      <c r="G25" t="str">
        <f t="shared" si="0"/>
        <v>1195+3009</v>
      </c>
      <c r="H25" t="str">
        <f t="shared" si="1"/>
        <v>`          Bachelor of Mass Communication Major in Broadcasting</v>
      </c>
      <c r="I25" t="s">
        <v>527</v>
      </c>
      <c r="J25" t="str">
        <f t="shared" si="2"/>
        <v>&lt;G2P&gt;&lt;G1P&gt;`          Bachelor of Mass Communication Major in Broadcasting</v>
      </c>
      <c r="S25" s="19" t="s">
        <v>40</v>
      </c>
      <c r="T25" s="11" t="s">
        <v>41</v>
      </c>
      <c r="U25" t="s">
        <v>16</v>
      </c>
      <c r="V25" t="s">
        <v>320</v>
      </c>
      <c r="X25" t="s">
        <v>328</v>
      </c>
      <c r="Y25" s="23" t="str">
        <f t="shared" si="3"/>
        <v>1195+3009</v>
      </c>
      <c r="Z25" s="23" t="str">
        <f t="shared" si="4"/>
        <v>`               Bachelor of Mass Communication Major in Broadcasting</v>
      </c>
    </row>
    <row r="26" spans="1:26" x14ac:dyDescent="0.25">
      <c r="A26" s="6">
        <v>1190</v>
      </c>
      <c r="B26" s="7" t="s">
        <v>42</v>
      </c>
      <c r="C26" t="s">
        <v>16</v>
      </c>
      <c r="D26" t="s">
        <v>319</v>
      </c>
      <c r="F26" t="s">
        <v>328</v>
      </c>
      <c r="G26">
        <f t="shared" si="0"/>
        <v>1190</v>
      </c>
      <c r="H26" t="str">
        <f t="shared" si="1"/>
        <v>`          Theatre Management</v>
      </c>
      <c r="I26" t="s">
        <v>527</v>
      </c>
      <c r="J26" t="str">
        <f t="shared" si="2"/>
        <v>&lt;G2P&gt;&lt;G1P&gt;`          Theatre Management</v>
      </c>
      <c r="S26" s="19">
        <v>1190</v>
      </c>
      <c r="T26" s="11" t="s">
        <v>42</v>
      </c>
      <c r="U26" t="s">
        <v>16</v>
      </c>
      <c r="V26" t="s">
        <v>320</v>
      </c>
      <c r="X26" t="s">
        <v>328</v>
      </c>
      <c r="Y26" s="23">
        <f t="shared" si="3"/>
        <v>1190</v>
      </c>
      <c r="Z26" s="23" t="str">
        <f t="shared" si="4"/>
        <v>`               Theatre Management</v>
      </c>
    </row>
    <row r="27" spans="1:26" x14ac:dyDescent="0.25">
      <c r="A27" s="6" t="s">
        <v>43</v>
      </c>
      <c r="B27" s="7" t="s">
        <v>44</v>
      </c>
      <c r="C27" t="s">
        <v>16</v>
      </c>
      <c r="D27" t="s">
        <v>319</v>
      </c>
      <c r="F27" t="s">
        <v>328</v>
      </c>
      <c r="G27" t="str">
        <f t="shared" si="0"/>
        <v>3010+3072</v>
      </c>
      <c r="H27" t="str">
        <f t="shared" si="1"/>
        <v>`          BA Communication Digital Cinema</v>
      </c>
      <c r="I27" t="s">
        <v>527</v>
      </c>
      <c r="J27" t="str">
        <f t="shared" si="2"/>
        <v>&lt;G2P&gt;&lt;G1P&gt;`          BA Communication Digital Cinema</v>
      </c>
      <c r="S27" s="19" t="s">
        <v>43</v>
      </c>
      <c r="T27" s="11" t="s">
        <v>44</v>
      </c>
      <c r="U27" t="s">
        <v>16</v>
      </c>
      <c r="V27" t="s">
        <v>320</v>
      </c>
      <c r="X27" t="s">
        <v>328</v>
      </c>
      <c r="Y27" s="23" t="str">
        <f t="shared" si="3"/>
        <v>3010+3072</v>
      </c>
      <c r="Z27" s="23" t="str">
        <f t="shared" si="4"/>
        <v>`               BA Communication Digital Cinema</v>
      </c>
    </row>
    <row r="28" spans="1:26" x14ac:dyDescent="0.25">
      <c r="A28" s="6">
        <v>3022</v>
      </c>
      <c r="B28" s="7" t="s">
        <v>45</v>
      </c>
      <c r="C28" t="s">
        <v>16</v>
      </c>
      <c r="D28" t="s">
        <v>319</v>
      </c>
      <c r="F28" t="s">
        <v>328</v>
      </c>
      <c r="G28">
        <f t="shared" si="0"/>
        <v>3022</v>
      </c>
      <c r="H28" t="str">
        <f t="shared" si="1"/>
        <v>`          BA Filipino</v>
      </c>
      <c r="I28" t="s">
        <v>527</v>
      </c>
      <c r="J28" t="str">
        <f t="shared" si="2"/>
        <v>&lt;G2P&gt;&lt;G1P&gt;`          BA Filipino</v>
      </c>
      <c r="S28" s="19">
        <v>3022</v>
      </c>
      <c r="T28" s="11" t="s">
        <v>45</v>
      </c>
      <c r="U28" t="s">
        <v>16</v>
      </c>
      <c r="V28" t="s">
        <v>320</v>
      </c>
      <c r="X28" t="s">
        <v>328</v>
      </c>
      <c r="Y28" s="23">
        <f t="shared" si="3"/>
        <v>3022</v>
      </c>
      <c r="Z28" s="23" t="str">
        <f t="shared" si="4"/>
        <v>`               BA Filipino</v>
      </c>
    </row>
    <row r="29" spans="1:26" x14ac:dyDescent="0.25">
      <c r="A29" s="6">
        <v>3023</v>
      </c>
      <c r="B29" s="7" t="s">
        <v>46</v>
      </c>
      <c r="C29" t="s">
        <v>16</v>
      </c>
      <c r="D29" t="s">
        <v>319</v>
      </c>
      <c r="F29" t="s">
        <v>328</v>
      </c>
      <c r="G29">
        <f t="shared" si="0"/>
        <v>3023</v>
      </c>
      <c r="H29" t="str">
        <f t="shared" si="1"/>
        <v>`          BA History</v>
      </c>
      <c r="I29" t="s">
        <v>527</v>
      </c>
      <c r="J29" t="str">
        <f t="shared" si="2"/>
        <v>&lt;G2P&gt;&lt;G1P&gt;`          BA History</v>
      </c>
      <c r="S29" s="19">
        <v>3023</v>
      </c>
      <c r="T29" s="11" t="s">
        <v>46</v>
      </c>
      <c r="U29" t="s">
        <v>16</v>
      </c>
      <c r="V29" t="s">
        <v>320</v>
      </c>
      <c r="X29" t="s">
        <v>328</v>
      </c>
      <c r="Y29" s="23">
        <f t="shared" si="3"/>
        <v>3023</v>
      </c>
      <c r="Z29" s="23" t="str">
        <f t="shared" si="4"/>
        <v>`               BA History</v>
      </c>
    </row>
    <row r="30" spans="1:26" x14ac:dyDescent="0.25">
      <c r="A30" s="6">
        <v>3025</v>
      </c>
      <c r="B30" s="7" t="s">
        <v>47</v>
      </c>
      <c r="C30" t="s">
        <v>16</v>
      </c>
      <c r="D30" t="s">
        <v>319</v>
      </c>
      <c r="F30" t="s">
        <v>328</v>
      </c>
      <c r="G30">
        <f t="shared" si="0"/>
        <v>3025</v>
      </c>
      <c r="H30" t="str">
        <f t="shared" si="1"/>
        <v>`          Bachelor of Creative Writing</v>
      </c>
      <c r="I30" t="s">
        <v>527</v>
      </c>
      <c r="J30" t="str">
        <f t="shared" si="2"/>
        <v>&lt;G2P&gt;&lt;G1P&gt;`          Bachelor of Creative Writing</v>
      </c>
      <c r="S30" s="19">
        <v>3025</v>
      </c>
      <c r="T30" s="11" t="s">
        <v>47</v>
      </c>
      <c r="U30" t="s">
        <v>16</v>
      </c>
      <c r="V30" t="s">
        <v>320</v>
      </c>
      <c r="X30" t="s">
        <v>328</v>
      </c>
      <c r="Y30" s="23">
        <f t="shared" si="3"/>
        <v>3025</v>
      </c>
      <c r="Z30" s="23" t="str">
        <f t="shared" si="4"/>
        <v>`               Bachelor of Creative Writing</v>
      </c>
    </row>
    <row r="31" spans="1:26" x14ac:dyDescent="0.25">
      <c r="A31" s="6">
        <v>3099</v>
      </c>
      <c r="B31" s="7" t="s">
        <v>48</v>
      </c>
      <c r="C31" t="s">
        <v>16</v>
      </c>
      <c r="D31" t="s">
        <v>319</v>
      </c>
      <c r="F31" t="s">
        <v>328</v>
      </c>
      <c r="G31">
        <f t="shared" si="0"/>
        <v>3099</v>
      </c>
      <c r="H31" t="str">
        <f t="shared" si="1"/>
        <v>`          Bachelor of Music in Music Education</v>
      </c>
      <c r="I31" t="s">
        <v>527</v>
      </c>
      <c r="J31" t="str">
        <f t="shared" si="2"/>
        <v>&lt;G2P&gt;&lt;G1P&gt;`          Bachelor of Music in Music Education</v>
      </c>
      <c r="S31" s="19">
        <v>3099</v>
      </c>
      <c r="T31" s="11" t="s">
        <v>48</v>
      </c>
      <c r="U31" t="s">
        <v>16</v>
      </c>
      <c r="V31" t="s">
        <v>320</v>
      </c>
      <c r="X31" t="s">
        <v>328</v>
      </c>
      <c r="Y31" s="23">
        <f t="shared" si="3"/>
        <v>3099</v>
      </c>
      <c r="Z31" s="23" t="str">
        <f t="shared" si="4"/>
        <v>`               Bachelor of Music in Music Education</v>
      </c>
    </row>
    <row r="32" spans="1:26" x14ac:dyDescent="0.25">
      <c r="A32" s="6">
        <v>3100</v>
      </c>
      <c r="B32" s="7" t="s">
        <v>49</v>
      </c>
      <c r="C32" t="s">
        <v>16</v>
      </c>
      <c r="D32" t="s">
        <v>319</v>
      </c>
      <c r="F32" t="s">
        <v>328</v>
      </c>
      <c r="G32">
        <f t="shared" si="0"/>
        <v>3100</v>
      </c>
      <c r="H32" t="str">
        <f t="shared" si="1"/>
        <v>`          Bachelor of Fitness and Sports Management</v>
      </c>
      <c r="I32" t="s">
        <v>527</v>
      </c>
      <c r="J32" t="str">
        <f t="shared" si="2"/>
        <v>&lt;G2P&gt;&lt;G1P&gt;`          Bachelor of Fitness and Sports Management</v>
      </c>
      <c r="S32" s="19">
        <v>3100</v>
      </c>
      <c r="T32" s="11" t="s">
        <v>49</v>
      </c>
      <c r="U32" t="s">
        <v>16</v>
      </c>
      <c r="V32" t="s">
        <v>320</v>
      </c>
      <c r="X32" t="s">
        <v>328</v>
      </c>
      <c r="Y32" s="23">
        <f t="shared" si="3"/>
        <v>3100</v>
      </c>
      <c r="Z32" s="23" t="str">
        <f t="shared" si="4"/>
        <v>`               Bachelor of Fitness and Sports Management</v>
      </c>
    </row>
    <row r="33" spans="1:26" x14ac:dyDescent="0.25">
      <c r="A33" s="6">
        <v>3106</v>
      </c>
      <c r="B33" s="7" t="s">
        <v>50</v>
      </c>
      <c r="C33" t="s">
        <v>16</v>
      </c>
      <c r="D33" t="s">
        <v>319</v>
      </c>
      <c r="F33" t="s">
        <v>328</v>
      </c>
      <c r="G33">
        <f t="shared" si="0"/>
        <v>3106</v>
      </c>
      <c r="H33" t="str">
        <f t="shared" si="1"/>
        <v>`          Bachelor of Multimedia Arts</v>
      </c>
      <c r="I33" t="s">
        <v>527</v>
      </c>
      <c r="J33" t="str">
        <f t="shared" si="2"/>
        <v>&lt;G2P&gt;&lt;G1P&gt;`          Bachelor of Multimedia Arts</v>
      </c>
      <c r="S33" s="19">
        <v>3106</v>
      </c>
      <c r="T33" s="11" t="s">
        <v>50</v>
      </c>
      <c r="U33" t="s">
        <v>16</v>
      </c>
      <c r="V33" t="s">
        <v>320</v>
      </c>
      <c r="X33" t="s">
        <v>328</v>
      </c>
      <c r="Y33" s="23">
        <f t="shared" si="3"/>
        <v>3106</v>
      </c>
      <c r="Z33" s="23" t="str">
        <f t="shared" si="4"/>
        <v>`               Bachelor of Multimedia Arts</v>
      </c>
    </row>
    <row r="34" spans="1:26" x14ac:dyDescent="0.25">
      <c r="A34" s="6">
        <v>3109</v>
      </c>
      <c r="B34" s="7" t="s">
        <v>51</v>
      </c>
      <c r="C34" t="s">
        <v>16</v>
      </c>
      <c r="D34" t="s">
        <v>319</v>
      </c>
      <c r="F34" t="s">
        <v>328</v>
      </c>
      <c r="G34">
        <f t="shared" si="0"/>
        <v>3109</v>
      </c>
      <c r="H34" t="str">
        <f t="shared" si="1"/>
        <v>`          AA Associate in Arts</v>
      </c>
      <c r="I34" t="s">
        <v>527</v>
      </c>
      <c r="J34" t="str">
        <f t="shared" si="2"/>
        <v>&lt;G2P&gt;&lt;G1P&gt;`          AA Associate in Arts</v>
      </c>
      <c r="S34" s="19">
        <v>3109</v>
      </c>
      <c r="T34" s="11" t="s">
        <v>51</v>
      </c>
      <c r="U34" t="s">
        <v>16</v>
      </c>
      <c r="V34" t="s">
        <v>320</v>
      </c>
      <c r="X34" t="s">
        <v>328</v>
      </c>
      <c r="Y34" s="23">
        <f t="shared" si="3"/>
        <v>3109</v>
      </c>
      <c r="Z34" s="23" t="str">
        <f t="shared" si="4"/>
        <v>`               AA Associate in Arts</v>
      </c>
    </row>
    <row r="35" spans="1:26" x14ac:dyDescent="0.25">
      <c r="A35" s="6">
        <v>3110</v>
      </c>
      <c r="B35" s="7" t="s">
        <v>338</v>
      </c>
      <c r="C35" t="s">
        <v>16</v>
      </c>
      <c r="D35" t="s">
        <v>319</v>
      </c>
      <c r="F35" t="s">
        <v>328</v>
      </c>
      <c r="G35">
        <f t="shared" si="0"/>
        <v>3110</v>
      </c>
      <c r="H35" t="str">
        <f t="shared" si="1"/>
        <v>`          BA European Languages</v>
      </c>
      <c r="I35" t="s">
        <v>527</v>
      </c>
      <c r="J35" t="str">
        <f t="shared" si="2"/>
        <v>&lt;G2P&gt;&lt;G1P&gt;`          BA European Languages</v>
      </c>
      <c r="S35" s="19">
        <v>3110</v>
      </c>
      <c r="T35" s="11" t="s">
        <v>338</v>
      </c>
      <c r="U35" t="s">
        <v>16</v>
      </c>
      <c r="V35" t="s">
        <v>320</v>
      </c>
      <c r="X35" t="s">
        <v>328</v>
      </c>
      <c r="Y35" s="23">
        <f t="shared" si="3"/>
        <v>3110</v>
      </c>
      <c r="Z35" s="23" t="str">
        <f t="shared" si="4"/>
        <v>`               BA European Languages</v>
      </c>
    </row>
    <row r="36" spans="1:26" x14ac:dyDescent="0.25">
      <c r="A36" s="6">
        <v>3111</v>
      </c>
      <c r="B36" s="7" t="s">
        <v>339</v>
      </c>
      <c r="C36" t="s">
        <v>16</v>
      </c>
      <c r="D36" t="s">
        <v>319</v>
      </c>
      <c r="F36" t="s">
        <v>328</v>
      </c>
      <c r="G36">
        <f t="shared" si="0"/>
        <v>3111</v>
      </c>
      <c r="H36" t="str">
        <f t="shared" si="1"/>
        <v>`          BA Philippine Studies</v>
      </c>
      <c r="I36" t="s">
        <v>529</v>
      </c>
      <c r="J36" t="str">
        <f t="shared" si="2"/>
        <v>&lt;G3E&gt;&lt;G2P&gt;&lt;G1P&gt;`          BA Philippine Studies</v>
      </c>
      <c r="S36" s="19">
        <v>3111</v>
      </c>
      <c r="T36" s="11" t="s">
        <v>339</v>
      </c>
      <c r="U36" t="s">
        <v>16</v>
      </c>
      <c r="V36" t="s">
        <v>320</v>
      </c>
      <c r="X36" t="s">
        <v>328</v>
      </c>
      <c r="Y36" s="23">
        <f t="shared" si="3"/>
        <v>3111</v>
      </c>
      <c r="Z36" s="23" t="str">
        <f t="shared" si="4"/>
        <v>`               BA Philippine Studies</v>
      </c>
    </row>
    <row r="37" spans="1:26" x14ac:dyDescent="0.25">
      <c r="A37" s="6" t="s">
        <v>353</v>
      </c>
      <c r="B37" s="8" t="s">
        <v>7</v>
      </c>
      <c r="C37" t="s">
        <v>5</v>
      </c>
      <c r="D37" t="s">
        <v>318</v>
      </c>
      <c r="E37" t="s">
        <v>322</v>
      </c>
      <c r="F37" t="s">
        <v>326</v>
      </c>
      <c r="G37" t="str">
        <f t="shared" si="0"/>
        <v>1004+1077+1005+1006+1072+1116+1007+1036+1124+3069+1037+3070+3071+1048+1049+1065+3017+1069+1107+1126+1125+1129+1130+3020+3024+1140+1145+1153+3075+1165+1166+1169+1186+3054+3004+3006+3007+3044+3091+3115+3112</v>
      </c>
      <c r="H37" t="str">
        <f t="shared" si="1"/>
        <v>`     SOCIAL SCIENCES (SUBNET)&lt;Q&gt;</v>
      </c>
      <c r="I37" t="s">
        <v>522</v>
      </c>
      <c r="J37" t="str">
        <f t="shared" si="2"/>
        <v>&lt;G1P&gt;`     SOCIAL SCIENCES (SUBNET)&lt;Q&gt;</v>
      </c>
      <c r="S37" s="19" t="s">
        <v>353</v>
      </c>
      <c r="T37" s="13" t="s">
        <v>7</v>
      </c>
      <c r="U37" t="s">
        <v>5</v>
      </c>
      <c r="V37" t="s">
        <v>318</v>
      </c>
      <c r="W37" t="s">
        <v>322</v>
      </c>
      <c r="X37" t="s">
        <v>326</v>
      </c>
      <c r="Y37" s="23" t="str">
        <f t="shared" si="3"/>
        <v>1004+1077+1005+1006+1072+1116+1007+1036+1124+3069+1037+3070+3071+1048+1049+1065+3017+1069+1107+1126+1125+1129+1130+3020+3024+1140+1145+1153+3075+1165+1166+1169+1186+3054+3004+3006+3007+3044+3091+3115+3112</v>
      </c>
      <c r="Z37" s="23" t="str">
        <f t="shared" si="4"/>
        <v>`     SOCIAL SCIENCES (SUBNET)&lt;Q&gt;</v>
      </c>
    </row>
    <row r="38" spans="1:26" x14ac:dyDescent="0.25">
      <c r="A38" s="6" t="s">
        <v>8</v>
      </c>
      <c r="B38" s="7" t="s">
        <v>9</v>
      </c>
      <c r="C38" t="s">
        <v>16</v>
      </c>
      <c r="D38" t="s">
        <v>319</v>
      </c>
      <c r="F38" t="s">
        <v>328</v>
      </c>
      <c r="G38" t="str">
        <f t="shared" si="0"/>
        <v>1004+1077</v>
      </c>
      <c r="H38" t="str">
        <f t="shared" si="1"/>
        <v>`          Legal Management</v>
      </c>
      <c r="I38" t="s">
        <v>528</v>
      </c>
      <c r="J38" t="str">
        <f t="shared" si="2"/>
        <v>&lt;G3B&gt;&lt;G2P&gt;&lt;G1P&gt;`          Legal Management</v>
      </c>
      <c r="S38" s="19" t="s">
        <v>8</v>
      </c>
      <c r="T38" s="11" t="s">
        <v>9</v>
      </c>
      <c r="U38" t="s">
        <v>16</v>
      </c>
      <c r="V38" t="s">
        <v>320</v>
      </c>
      <c r="X38" t="s">
        <v>328</v>
      </c>
      <c r="Y38" s="23" t="str">
        <f t="shared" si="3"/>
        <v>1004+1077</v>
      </c>
      <c r="Z38" s="23" t="str">
        <f t="shared" si="4"/>
        <v>`               Legal Management</v>
      </c>
    </row>
    <row r="39" spans="1:26" x14ac:dyDescent="0.25">
      <c r="A39" s="6" t="s">
        <v>10</v>
      </c>
      <c r="B39" s="7" t="s">
        <v>11</v>
      </c>
      <c r="C39" t="s">
        <v>16</v>
      </c>
      <c r="D39" t="s">
        <v>319</v>
      </c>
      <c r="F39" t="s">
        <v>328</v>
      </c>
      <c r="G39" t="str">
        <f t="shared" si="0"/>
        <v>1005+1006+1072+1116</v>
      </c>
      <c r="H39" t="str">
        <f t="shared" si="1"/>
        <v>`          AB Political Science</v>
      </c>
      <c r="I39" t="s">
        <v>527</v>
      </c>
      <c r="J39" t="str">
        <f t="shared" si="2"/>
        <v>&lt;G2P&gt;&lt;G1P&gt;`          AB Political Science</v>
      </c>
      <c r="S39" s="19" t="s">
        <v>10</v>
      </c>
      <c r="T39" s="11" t="s">
        <v>11</v>
      </c>
      <c r="U39" t="s">
        <v>16</v>
      </c>
      <c r="V39" t="s">
        <v>320</v>
      </c>
      <c r="X39" t="s">
        <v>328</v>
      </c>
      <c r="Y39" s="23" t="str">
        <f t="shared" si="3"/>
        <v>1005+1006+1072+1116</v>
      </c>
      <c r="Z39" s="23" t="str">
        <f t="shared" si="4"/>
        <v>`               AB Political Science</v>
      </c>
    </row>
    <row r="40" spans="1:26" x14ac:dyDescent="0.25">
      <c r="A40" s="6">
        <v>1007</v>
      </c>
      <c r="B40" s="7" t="s">
        <v>12</v>
      </c>
      <c r="C40" t="s">
        <v>16</v>
      </c>
      <c r="D40" t="s">
        <v>319</v>
      </c>
      <c r="F40" t="s">
        <v>328</v>
      </c>
      <c r="G40">
        <f t="shared" si="0"/>
        <v>1007</v>
      </c>
      <c r="H40" t="str">
        <f t="shared" si="1"/>
        <v>`          Mass Communication</v>
      </c>
      <c r="I40" t="s">
        <v>527</v>
      </c>
      <c r="J40" t="str">
        <f t="shared" si="2"/>
        <v>&lt;G2P&gt;&lt;G1P&gt;`          Mass Communication</v>
      </c>
      <c r="S40" s="19">
        <v>1007</v>
      </c>
      <c r="T40" s="11" t="s">
        <v>12</v>
      </c>
      <c r="U40" t="s">
        <v>16</v>
      </c>
      <c r="V40" t="s">
        <v>320</v>
      </c>
      <c r="X40" t="s">
        <v>328</v>
      </c>
      <c r="Y40" s="23">
        <f t="shared" si="3"/>
        <v>1007</v>
      </c>
      <c r="Z40" s="23" t="str">
        <f t="shared" si="4"/>
        <v>`               Mass Communication</v>
      </c>
    </row>
    <row r="41" spans="1:26" x14ac:dyDescent="0.25">
      <c r="A41" s="6" t="s">
        <v>52</v>
      </c>
      <c r="B41" s="7" t="s">
        <v>53</v>
      </c>
      <c r="C41" t="s">
        <v>16</v>
      </c>
      <c r="D41" t="s">
        <v>319</v>
      </c>
      <c r="F41" t="s">
        <v>328</v>
      </c>
      <c r="G41" t="str">
        <f t="shared" si="0"/>
        <v>1036+1124+3069</v>
      </c>
      <c r="H41" t="str">
        <f t="shared" si="1"/>
        <v>`          BA Communication</v>
      </c>
      <c r="I41" t="s">
        <v>527</v>
      </c>
      <c r="J41" t="str">
        <f t="shared" si="2"/>
        <v>&lt;G2P&gt;&lt;G1P&gt;`          BA Communication</v>
      </c>
      <c r="S41" s="19" t="s">
        <v>52</v>
      </c>
      <c r="T41" s="11" t="s">
        <v>53</v>
      </c>
      <c r="U41" t="s">
        <v>16</v>
      </c>
      <c r="V41" t="s">
        <v>320</v>
      </c>
      <c r="X41" t="s">
        <v>328</v>
      </c>
      <c r="Y41" s="23" t="str">
        <f t="shared" si="3"/>
        <v>1036+1124+3069</v>
      </c>
      <c r="Z41" s="23" t="str">
        <f t="shared" si="4"/>
        <v>`               BA Communication</v>
      </c>
    </row>
    <row r="42" spans="1:26" x14ac:dyDescent="0.25">
      <c r="A42" s="6" t="s">
        <v>54</v>
      </c>
      <c r="B42" s="7" t="s">
        <v>55</v>
      </c>
      <c r="C42" t="s">
        <v>16</v>
      </c>
      <c r="D42" t="s">
        <v>319</v>
      </c>
      <c r="F42" t="s">
        <v>328</v>
      </c>
      <c r="G42" t="str">
        <f t="shared" si="0"/>
        <v>1037+3070+3071</v>
      </c>
      <c r="H42" t="str">
        <f t="shared" si="1"/>
        <v>`          BA Communication Arts</v>
      </c>
      <c r="I42" t="s">
        <v>527</v>
      </c>
      <c r="J42" t="str">
        <f t="shared" si="2"/>
        <v>&lt;G2P&gt;&lt;G1P&gt;`          BA Communication Arts</v>
      </c>
      <c r="S42" s="19" t="s">
        <v>54</v>
      </c>
      <c r="T42" s="11" t="s">
        <v>55</v>
      </c>
      <c r="U42" t="s">
        <v>16</v>
      </c>
      <c r="V42" t="s">
        <v>320</v>
      </c>
      <c r="X42" t="s">
        <v>328</v>
      </c>
      <c r="Y42" s="23" t="str">
        <f t="shared" si="3"/>
        <v>1037+3070+3071</v>
      </c>
      <c r="Z42" s="23" t="str">
        <f t="shared" si="4"/>
        <v>`               BA Communication Arts</v>
      </c>
    </row>
    <row r="43" spans="1:26" x14ac:dyDescent="0.25">
      <c r="A43" s="6">
        <v>1048</v>
      </c>
      <c r="B43" s="7" t="s">
        <v>56</v>
      </c>
      <c r="C43" t="s">
        <v>16</v>
      </c>
      <c r="D43" t="s">
        <v>319</v>
      </c>
      <c r="F43" t="s">
        <v>328</v>
      </c>
      <c r="G43">
        <f t="shared" si="0"/>
        <v>1048</v>
      </c>
      <c r="H43" t="str">
        <f t="shared" si="1"/>
        <v>`          AB Consular and Diplomatic Affairs</v>
      </c>
      <c r="I43" t="s">
        <v>527</v>
      </c>
      <c r="J43" t="str">
        <f t="shared" si="2"/>
        <v>&lt;G2P&gt;&lt;G1P&gt;`          AB Consular and Diplomatic Affairs</v>
      </c>
      <c r="S43" s="19">
        <v>1048</v>
      </c>
      <c r="T43" s="11" t="s">
        <v>56</v>
      </c>
      <c r="U43" t="s">
        <v>16</v>
      </c>
      <c r="V43" t="s">
        <v>320</v>
      </c>
      <c r="X43" t="s">
        <v>328</v>
      </c>
      <c r="Y43" s="23">
        <f t="shared" si="3"/>
        <v>1048</v>
      </c>
      <c r="Z43" s="23" t="str">
        <f t="shared" si="4"/>
        <v>`               AB Consular and Diplomatic Affairs</v>
      </c>
    </row>
    <row r="44" spans="1:26" x14ac:dyDescent="0.25">
      <c r="A44" s="6">
        <v>1049</v>
      </c>
      <c r="B44" s="7" t="s">
        <v>57</v>
      </c>
      <c r="C44" t="s">
        <v>16</v>
      </c>
      <c r="D44" t="s">
        <v>319</v>
      </c>
      <c r="F44" t="s">
        <v>328</v>
      </c>
      <c r="G44">
        <f t="shared" si="0"/>
        <v>1049</v>
      </c>
      <c r="H44" t="str">
        <f t="shared" si="1"/>
        <v>`          BS Legal Management</v>
      </c>
      <c r="I44" t="s">
        <v>527</v>
      </c>
      <c r="J44" t="str">
        <f t="shared" si="2"/>
        <v>&lt;G2P&gt;&lt;G1P&gt;`          BS Legal Management</v>
      </c>
      <c r="S44" s="19">
        <v>1049</v>
      </c>
      <c r="T44" s="11" t="s">
        <v>57</v>
      </c>
      <c r="U44" t="s">
        <v>16</v>
      </c>
      <c r="V44" t="s">
        <v>320</v>
      </c>
      <c r="X44" t="s">
        <v>328</v>
      </c>
      <c r="Y44" s="23">
        <f t="shared" si="3"/>
        <v>1049</v>
      </c>
      <c r="Z44" s="23" t="str">
        <f t="shared" si="4"/>
        <v>`               BS Legal Management</v>
      </c>
    </row>
    <row r="45" spans="1:26" x14ac:dyDescent="0.25">
      <c r="A45" s="6" t="s">
        <v>58</v>
      </c>
      <c r="B45" s="7" t="s">
        <v>59</v>
      </c>
      <c r="C45" t="s">
        <v>16</v>
      </c>
      <c r="D45" t="s">
        <v>319</v>
      </c>
      <c r="F45" t="s">
        <v>328</v>
      </c>
      <c r="G45" t="str">
        <f t="shared" si="0"/>
        <v>1065+3017</v>
      </c>
      <c r="H45" t="str">
        <f t="shared" si="1"/>
        <v>`          BA Behavioral Science</v>
      </c>
      <c r="I45" t="s">
        <v>527</v>
      </c>
      <c r="J45" t="str">
        <f t="shared" si="2"/>
        <v>&lt;G2P&gt;&lt;G1P&gt;`          BA Behavioral Science</v>
      </c>
      <c r="S45" s="19" t="s">
        <v>58</v>
      </c>
      <c r="T45" s="11" t="s">
        <v>59</v>
      </c>
      <c r="U45" t="s">
        <v>16</v>
      </c>
      <c r="V45" t="s">
        <v>320</v>
      </c>
      <c r="X45" t="s">
        <v>328</v>
      </c>
      <c r="Y45" s="23" t="str">
        <f t="shared" si="3"/>
        <v>1065+3017</v>
      </c>
      <c r="Z45" s="23" t="str">
        <f t="shared" si="4"/>
        <v>`               BA Behavioral Science</v>
      </c>
    </row>
    <row r="46" spans="1:26" x14ac:dyDescent="0.25">
      <c r="A46" s="6">
        <v>1069</v>
      </c>
      <c r="B46" s="7" t="s">
        <v>60</v>
      </c>
      <c r="C46" t="s">
        <v>16</v>
      </c>
      <c r="D46" t="s">
        <v>319</v>
      </c>
      <c r="F46" t="s">
        <v>328</v>
      </c>
      <c r="G46">
        <f t="shared" si="0"/>
        <v>1069</v>
      </c>
      <c r="H46" t="str">
        <f t="shared" si="1"/>
        <v>`          AB Psychology</v>
      </c>
      <c r="I46" t="s">
        <v>527</v>
      </c>
      <c r="J46" t="str">
        <f t="shared" si="2"/>
        <v>&lt;G2P&gt;&lt;G1P&gt;`          AB Psychology</v>
      </c>
      <c r="S46" s="19">
        <v>1069</v>
      </c>
      <c r="T46" s="11" t="s">
        <v>60</v>
      </c>
      <c r="U46" t="s">
        <v>16</v>
      </c>
      <c r="V46" t="s">
        <v>320</v>
      </c>
      <c r="X46" t="s">
        <v>328</v>
      </c>
      <c r="Y46" s="23">
        <f t="shared" si="3"/>
        <v>1069</v>
      </c>
      <c r="Z46" s="23" t="str">
        <f t="shared" si="4"/>
        <v>`               AB Psychology</v>
      </c>
    </row>
    <row r="47" spans="1:26" x14ac:dyDescent="0.25">
      <c r="A47" s="6">
        <v>1107</v>
      </c>
      <c r="B47" s="7" t="s">
        <v>61</v>
      </c>
      <c r="C47" t="s">
        <v>16</v>
      </c>
      <c r="D47" t="s">
        <v>319</v>
      </c>
      <c r="F47" t="s">
        <v>328</v>
      </c>
      <c r="G47">
        <f t="shared" si="0"/>
        <v>1107</v>
      </c>
      <c r="H47" t="str">
        <f t="shared" si="1"/>
        <v>`          Elementary Education</v>
      </c>
      <c r="I47" t="s">
        <v>527</v>
      </c>
      <c r="J47" t="str">
        <f t="shared" si="2"/>
        <v>&lt;G2P&gt;&lt;G1P&gt;`          Elementary Education</v>
      </c>
      <c r="S47" s="19">
        <v>1107</v>
      </c>
      <c r="T47" s="11" t="s">
        <v>61</v>
      </c>
      <c r="U47" t="s">
        <v>16</v>
      </c>
      <c r="V47" t="s">
        <v>320</v>
      </c>
      <c r="X47" t="s">
        <v>328</v>
      </c>
      <c r="Y47" s="23">
        <f t="shared" si="3"/>
        <v>1107</v>
      </c>
      <c r="Z47" s="23" t="str">
        <f t="shared" si="4"/>
        <v>`               Elementary Education</v>
      </c>
    </row>
    <row r="48" spans="1:26" x14ac:dyDescent="0.25">
      <c r="A48" s="6" t="s">
        <v>62</v>
      </c>
      <c r="B48" s="7" t="s">
        <v>63</v>
      </c>
      <c r="C48" t="s">
        <v>16</v>
      </c>
      <c r="D48" t="s">
        <v>319</v>
      </c>
      <c r="F48" t="s">
        <v>328</v>
      </c>
      <c r="G48" t="str">
        <f t="shared" si="0"/>
        <v>1126+1125</v>
      </c>
      <c r="H48" t="str">
        <f t="shared" si="1"/>
        <v>`          AB Diplomacy and International Relations</v>
      </c>
      <c r="I48" t="s">
        <v>527</v>
      </c>
      <c r="J48" t="str">
        <f t="shared" si="2"/>
        <v>&lt;G2P&gt;&lt;G1P&gt;`          AB Diplomacy and International Relations</v>
      </c>
      <c r="S48" s="19" t="s">
        <v>62</v>
      </c>
      <c r="T48" s="11" t="s">
        <v>63</v>
      </c>
      <c r="U48" t="s">
        <v>16</v>
      </c>
      <c r="V48" t="s">
        <v>320</v>
      </c>
      <c r="X48" t="s">
        <v>328</v>
      </c>
      <c r="Y48" s="23" t="str">
        <f t="shared" si="3"/>
        <v>1126+1125</v>
      </c>
      <c r="Z48" s="23" t="str">
        <f t="shared" si="4"/>
        <v>`               AB Diplomacy and International Relations</v>
      </c>
    </row>
    <row r="49" spans="1:26" x14ac:dyDescent="0.25">
      <c r="A49" s="6">
        <v>1129</v>
      </c>
      <c r="B49" s="7" t="s">
        <v>64</v>
      </c>
      <c r="C49" t="s">
        <v>16</v>
      </c>
      <c r="D49" t="s">
        <v>319</v>
      </c>
      <c r="F49" t="s">
        <v>328</v>
      </c>
      <c r="G49">
        <f t="shared" si="0"/>
        <v>1129</v>
      </c>
      <c r="H49" t="str">
        <f t="shared" si="1"/>
        <v>`          AB Philosophy</v>
      </c>
      <c r="I49" t="s">
        <v>527</v>
      </c>
      <c r="J49" t="str">
        <f t="shared" si="2"/>
        <v>&lt;G2P&gt;&lt;G1P&gt;`          AB Philosophy</v>
      </c>
      <c r="S49" s="19">
        <v>1129</v>
      </c>
      <c r="T49" s="11" t="s">
        <v>64</v>
      </c>
      <c r="U49" t="s">
        <v>16</v>
      </c>
      <c r="V49" t="s">
        <v>320</v>
      </c>
      <c r="X49" t="s">
        <v>328</v>
      </c>
      <c r="Y49" s="23">
        <f t="shared" si="3"/>
        <v>1129</v>
      </c>
      <c r="Z49" s="23" t="str">
        <f t="shared" si="4"/>
        <v>`               AB Philosophy</v>
      </c>
    </row>
    <row r="50" spans="1:26" x14ac:dyDescent="0.25">
      <c r="A50" s="6" t="s">
        <v>65</v>
      </c>
      <c r="B50" s="7" t="s">
        <v>66</v>
      </c>
      <c r="C50" t="s">
        <v>16</v>
      </c>
      <c r="D50" t="s">
        <v>319</v>
      </c>
      <c r="F50" t="s">
        <v>328</v>
      </c>
      <c r="G50" t="str">
        <f t="shared" si="0"/>
        <v>1130+3020+3024</v>
      </c>
      <c r="H50" t="str">
        <f t="shared" si="1"/>
        <v>`          AB Social Science</v>
      </c>
      <c r="I50" t="s">
        <v>527</v>
      </c>
      <c r="J50" t="str">
        <f t="shared" si="2"/>
        <v>&lt;G2P&gt;&lt;G1P&gt;`          AB Social Science</v>
      </c>
      <c r="S50" s="19" t="s">
        <v>65</v>
      </c>
      <c r="T50" s="11" t="s">
        <v>66</v>
      </c>
      <c r="U50" t="s">
        <v>16</v>
      </c>
      <c r="V50" t="s">
        <v>320</v>
      </c>
      <c r="X50" t="s">
        <v>328</v>
      </c>
      <c r="Y50" s="23" t="str">
        <f t="shared" si="3"/>
        <v>1130+3020+3024</v>
      </c>
      <c r="Z50" s="23" t="str">
        <f t="shared" si="4"/>
        <v>`               AB Social Science</v>
      </c>
    </row>
    <row r="51" spans="1:26" x14ac:dyDescent="0.25">
      <c r="A51" s="6">
        <v>1140</v>
      </c>
      <c r="B51" s="7" t="s">
        <v>67</v>
      </c>
      <c r="C51" t="s">
        <v>16</v>
      </c>
      <c r="D51" t="s">
        <v>319</v>
      </c>
      <c r="F51" t="s">
        <v>328</v>
      </c>
      <c r="G51">
        <f t="shared" si="0"/>
        <v>1140</v>
      </c>
      <c r="H51" t="str">
        <f t="shared" si="1"/>
        <v>`          BA Communication Research</v>
      </c>
      <c r="I51" t="s">
        <v>527</v>
      </c>
      <c r="J51" t="str">
        <f t="shared" si="2"/>
        <v>&lt;G2P&gt;&lt;G1P&gt;`          BA Communication Research</v>
      </c>
      <c r="S51" s="19">
        <v>1140</v>
      </c>
      <c r="T51" s="11" t="s">
        <v>67</v>
      </c>
      <c r="U51" t="s">
        <v>16</v>
      </c>
      <c r="V51" t="s">
        <v>320</v>
      </c>
      <c r="X51" t="s">
        <v>328</v>
      </c>
      <c r="Y51" s="23">
        <f t="shared" si="3"/>
        <v>1140</v>
      </c>
      <c r="Z51" s="23" t="str">
        <f t="shared" si="4"/>
        <v>`               BA Communication Research</v>
      </c>
    </row>
    <row r="52" spans="1:26" x14ac:dyDescent="0.25">
      <c r="A52" s="6">
        <v>1145</v>
      </c>
      <c r="B52" s="7" t="s">
        <v>68</v>
      </c>
      <c r="C52" t="s">
        <v>16</v>
      </c>
      <c r="D52" t="s">
        <v>319</v>
      </c>
      <c r="F52" t="s">
        <v>328</v>
      </c>
      <c r="G52">
        <f t="shared" si="0"/>
        <v>1145</v>
      </c>
      <c r="H52" t="str">
        <f t="shared" si="1"/>
        <v>`          BA Sociology</v>
      </c>
      <c r="I52" t="s">
        <v>527</v>
      </c>
      <c r="J52" t="str">
        <f t="shared" si="2"/>
        <v>&lt;G2P&gt;&lt;G1P&gt;`          BA Sociology</v>
      </c>
      <c r="S52" s="19">
        <v>1145</v>
      </c>
      <c r="T52" s="11" t="s">
        <v>68</v>
      </c>
      <c r="U52" t="s">
        <v>16</v>
      </c>
      <c r="V52" t="s">
        <v>320</v>
      </c>
      <c r="X52" t="s">
        <v>328</v>
      </c>
      <c r="Y52" s="23">
        <f t="shared" si="3"/>
        <v>1145</v>
      </c>
      <c r="Z52" s="23" t="str">
        <f t="shared" si="4"/>
        <v>`               BA Sociology</v>
      </c>
    </row>
    <row r="53" spans="1:26" x14ac:dyDescent="0.25">
      <c r="A53" s="6" t="s">
        <v>69</v>
      </c>
      <c r="B53" s="7" t="s">
        <v>70</v>
      </c>
      <c r="C53" t="s">
        <v>16</v>
      </c>
      <c r="D53" t="s">
        <v>319</v>
      </c>
      <c r="F53" t="s">
        <v>328</v>
      </c>
      <c r="G53" t="str">
        <f t="shared" si="0"/>
        <v>1153+3075</v>
      </c>
      <c r="H53" t="str">
        <f t="shared" si="1"/>
        <v>`          BS Social Work</v>
      </c>
      <c r="I53" t="s">
        <v>527</v>
      </c>
      <c r="J53" t="str">
        <f t="shared" si="2"/>
        <v>&lt;G2P&gt;&lt;G1P&gt;`          BS Social Work</v>
      </c>
      <c r="S53" s="19" t="s">
        <v>69</v>
      </c>
      <c r="T53" s="11" t="s">
        <v>70</v>
      </c>
      <c r="U53" t="s">
        <v>16</v>
      </c>
      <c r="V53" t="s">
        <v>320</v>
      </c>
      <c r="X53" t="s">
        <v>328</v>
      </c>
      <c r="Y53" s="23" t="str">
        <f t="shared" si="3"/>
        <v>1153+3075</v>
      </c>
      <c r="Z53" s="23" t="str">
        <f t="shared" si="4"/>
        <v>`               BS Social Work</v>
      </c>
    </row>
    <row r="54" spans="1:26" x14ac:dyDescent="0.25">
      <c r="A54" s="6">
        <v>1165</v>
      </c>
      <c r="B54" s="7" t="s">
        <v>71</v>
      </c>
      <c r="C54" t="s">
        <v>16</v>
      </c>
      <c r="D54" t="s">
        <v>319</v>
      </c>
      <c r="F54" t="s">
        <v>328</v>
      </c>
      <c r="G54">
        <f t="shared" si="0"/>
        <v>1165</v>
      </c>
      <c r="H54" t="str">
        <f t="shared" si="1"/>
        <v>`          BS Community Development</v>
      </c>
      <c r="I54" t="s">
        <v>527</v>
      </c>
      <c r="J54" t="str">
        <f t="shared" si="2"/>
        <v>&lt;G2P&gt;&lt;G1P&gt;`          BS Community Development</v>
      </c>
      <c r="S54" s="19">
        <v>1165</v>
      </c>
      <c r="T54" s="11" t="s">
        <v>71</v>
      </c>
      <c r="U54" t="s">
        <v>16</v>
      </c>
      <c r="V54" t="s">
        <v>320</v>
      </c>
      <c r="X54" t="s">
        <v>328</v>
      </c>
      <c r="Y54" s="23">
        <f t="shared" si="3"/>
        <v>1165</v>
      </c>
      <c r="Z54" s="23" t="str">
        <f t="shared" si="4"/>
        <v>`               BS Community Development</v>
      </c>
    </row>
    <row r="55" spans="1:26" x14ac:dyDescent="0.25">
      <c r="A55" s="6">
        <v>1166</v>
      </c>
      <c r="B55" s="7" t="s">
        <v>72</v>
      </c>
      <c r="C55" t="s">
        <v>16</v>
      </c>
      <c r="D55" t="s">
        <v>319</v>
      </c>
      <c r="F55" t="s">
        <v>328</v>
      </c>
      <c r="G55">
        <f t="shared" si="0"/>
        <v>1166</v>
      </c>
      <c r="H55" t="str">
        <f t="shared" si="1"/>
        <v>`          BS Community Nutrition</v>
      </c>
      <c r="I55" t="s">
        <v>527</v>
      </c>
      <c r="J55" t="str">
        <f t="shared" si="2"/>
        <v>&lt;G2P&gt;&lt;G1P&gt;`          BS Community Nutrition</v>
      </c>
      <c r="S55" s="19">
        <v>1166</v>
      </c>
      <c r="T55" s="11" t="s">
        <v>72</v>
      </c>
      <c r="U55" t="s">
        <v>16</v>
      </c>
      <c r="V55" t="s">
        <v>320</v>
      </c>
      <c r="X55" t="s">
        <v>328</v>
      </c>
      <c r="Y55" s="23">
        <f t="shared" si="3"/>
        <v>1166</v>
      </c>
      <c r="Z55" s="23" t="str">
        <f t="shared" si="4"/>
        <v>`               BS Community Nutrition</v>
      </c>
    </row>
    <row r="56" spans="1:26" x14ac:dyDescent="0.25">
      <c r="A56" s="6">
        <v>1169</v>
      </c>
      <c r="B56" s="7" t="s">
        <v>73</v>
      </c>
      <c r="C56" t="s">
        <v>16</v>
      </c>
      <c r="D56" t="s">
        <v>319</v>
      </c>
      <c r="F56" t="s">
        <v>328</v>
      </c>
      <c r="G56">
        <f t="shared" si="0"/>
        <v>1169</v>
      </c>
      <c r="H56" t="str">
        <f t="shared" si="1"/>
        <v>`          BS Family Life and Child Development</v>
      </c>
      <c r="I56" t="s">
        <v>527</v>
      </c>
      <c r="J56" t="str">
        <f t="shared" si="2"/>
        <v>&lt;G2P&gt;&lt;G1P&gt;`          BS Family Life and Child Development</v>
      </c>
      <c r="S56" s="19">
        <v>1169</v>
      </c>
      <c r="T56" s="11" t="s">
        <v>73</v>
      </c>
      <c r="U56" t="s">
        <v>16</v>
      </c>
      <c r="V56" t="s">
        <v>320</v>
      </c>
      <c r="X56" t="s">
        <v>328</v>
      </c>
      <c r="Y56" s="23">
        <f t="shared" si="3"/>
        <v>1169</v>
      </c>
      <c r="Z56" s="23" t="str">
        <f t="shared" si="4"/>
        <v>`               BS Family Life and Child Development</v>
      </c>
    </row>
    <row r="57" spans="1:26" x14ac:dyDescent="0.25">
      <c r="A57" s="6">
        <v>1186</v>
      </c>
      <c r="B57" s="7" t="s">
        <v>74</v>
      </c>
      <c r="C57" t="s">
        <v>16</v>
      </c>
      <c r="D57" t="s">
        <v>319</v>
      </c>
      <c r="F57" t="s">
        <v>328</v>
      </c>
      <c r="G57">
        <f t="shared" si="0"/>
        <v>1186</v>
      </c>
      <c r="H57" t="str">
        <f t="shared" si="1"/>
        <v>`          Law</v>
      </c>
      <c r="I57" t="s">
        <v>527</v>
      </c>
      <c r="J57" t="str">
        <f t="shared" si="2"/>
        <v>&lt;G2P&gt;&lt;G1P&gt;`          Law</v>
      </c>
      <c r="S57" s="19">
        <v>1186</v>
      </c>
      <c r="T57" s="11" t="s">
        <v>74</v>
      </c>
      <c r="U57" t="s">
        <v>16</v>
      </c>
      <c r="V57" t="s">
        <v>320</v>
      </c>
      <c r="X57" t="s">
        <v>328</v>
      </c>
      <c r="Y57" s="23">
        <f t="shared" si="3"/>
        <v>1186</v>
      </c>
      <c r="Z57" s="23" t="str">
        <f t="shared" si="4"/>
        <v>`               Law</v>
      </c>
    </row>
    <row r="58" spans="1:26" x14ac:dyDescent="0.25">
      <c r="A58" s="6">
        <v>3054</v>
      </c>
      <c r="B58" s="7" t="s">
        <v>75</v>
      </c>
      <c r="C58" t="s">
        <v>16</v>
      </c>
      <c r="D58" t="s">
        <v>319</v>
      </c>
      <c r="F58" t="s">
        <v>328</v>
      </c>
      <c r="G58">
        <f t="shared" si="0"/>
        <v>3054</v>
      </c>
      <c r="H58" t="str">
        <f t="shared" si="1"/>
        <v>`          BA Social Science</v>
      </c>
      <c r="I58" t="s">
        <v>527</v>
      </c>
      <c r="J58" t="str">
        <f t="shared" si="2"/>
        <v>&lt;G2P&gt;&lt;G1P&gt;`          BA Social Science</v>
      </c>
      <c r="S58" s="19">
        <v>3054</v>
      </c>
      <c r="T58" s="11" t="s">
        <v>75</v>
      </c>
      <c r="U58" t="s">
        <v>16</v>
      </c>
      <c r="V58" t="s">
        <v>320</v>
      </c>
      <c r="X58" t="s">
        <v>328</v>
      </c>
      <c r="Y58" s="23">
        <f t="shared" si="3"/>
        <v>3054</v>
      </c>
      <c r="Z58" s="23" t="str">
        <f t="shared" si="4"/>
        <v>`               BA Social Science</v>
      </c>
    </row>
    <row r="59" spans="1:26" x14ac:dyDescent="0.25">
      <c r="A59" s="6">
        <v>3004</v>
      </c>
      <c r="B59" s="7" t="s">
        <v>76</v>
      </c>
      <c r="C59" t="s">
        <v>16</v>
      </c>
      <c r="D59" t="s">
        <v>319</v>
      </c>
      <c r="F59" t="s">
        <v>328</v>
      </c>
      <c r="G59">
        <f t="shared" si="0"/>
        <v>3004</v>
      </c>
      <c r="H59" t="str">
        <f t="shared" si="1"/>
        <v>`          AB Development Studies</v>
      </c>
      <c r="I59" t="s">
        <v>527</v>
      </c>
      <c r="J59" t="str">
        <f t="shared" si="2"/>
        <v>&lt;G2P&gt;&lt;G1P&gt;`          AB Development Studies</v>
      </c>
      <c r="S59" s="19">
        <v>3004</v>
      </c>
      <c r="T59" s="11" t="s">
        <v>76</v>
      </c>
      <c r="U59" t="s">
        <v>16</v>
      </c>
      <c r="V59" t="s">
        <v>320</v>
      </c>
      <c r="X59" t="s">
        <v>328</v>
      </c>
      <c r="Y59" s="23">
        <f t="shared" si="3"/>
        <v>3004</v>
      </c>
      <c r="Z59" s="23" t="str">
        <f t="shared" si="4"/>
        <v>`               AB Development Studies</v>
      </c>
    </row>
    <row r="60" spans="1:26" x14ac:dyDescent="0.25">
      <c r="A60" s="6">
        <v>3006</v>
      </c>
      <c r="B60" s="7" t="s">
        <v>77</v>
      </c>
      <c r="C60" t="s">
        <v>16</v>
      </c>
      <c r="D60" t="s">
        <v>319</v>
      </c>
      <c r="F60" t="s">
        <v>328</v>
      </c>
      <c r="G60">
        <f t="shared" si="0"/>
        <v>3006</v>
      </c>
      <c r="H60" t="str">
        <f t="shared" si="1"/>
        <v>`          AB Humanities</v>
      </c>
      <c r="I60" t="s">
        <v>527</v>
      </c>
      <c r="J60" t="str">
        <f t="shared" si="2"/>
        <v>&lt;G2P&gt;&lt;G1P&gt;`          AB Humanities</v>
      </c>
      <c r="S60" s="19">
        <v>3006</v>
      </c>
      <c r="T60" s="11" t="s">
        <v>77</v>
      </c>
      <c r="U60" t="s">
        <v>16</v>
      </c>
      <c r="V60" t="s">
        <v>320</v>
      </c>
      <c r="X60" t="s">
        <v>328</v>
      </c>
      <c r="Y60" s="23">
        <f t="shared" si="3"/>
        <v>3006</v>
      </c>
      <c r="Z60" s="23" t="str">
        <f t="shared" si="4"/>
        <v>`               AB Humanities</v>
      </c>
    </row>
    <row r="61" spans="1:26" x14ac:dyDescent="0.25">
      <c r="A61" s="6">
        <v>3007</v>
      </c>
      <c r="B61" s="7" t="s">
        <v>78</v>
      </c>
      <c r="C61" t="s">
        <v>16</v>
      </c>
      <c r="D61" t="s">
        <v>319</v>
      </c>
      <c r="F61" t="s">
        <v>328</v>
      </c>
      <c r="G61">
        <f t="shared" si="0"/>
        <v>3007</v>
      </c>
      <c r="H61" t="str">
        <f t="shared" si="1"/>
        <v>`          AB Sociology</v>
      </c>
      <c r="I61" t="s">
        <v>527</v>
      </c>
      <c r="J61" t="str">
        <f t="shared" si="2"/>
        <v>&lt;G2P&gt;&lt;G1P&gt;`          AB Sociology</v>
      </c>
      <c r="S61" s="19">
        <v>3007</v>
      </c>
      <c r="T61" s="11" t="s">
        <v>78</v>
      </c>
      <c r="U61" t="s">
        <v>16</v>
      </c>
      <c r="V61" t="s">
        <v>320</v>
      </c>
      <c r="X61" t="s">
        <v>328</v>
      </c>
      <c r="Y61" s="23">
        <f t="shared" si="3"/>
        <v>3007</v>
      </c>
      <c r="Z61" s="23" t="str">
        <f t="shared" si="4"/>
        <v>`               AB Sociology</v>
      </c>
    </row>
    <row r="62" spans="1:26" x14ac:dyDescent="0.25">
      <c r="A62" s="6">
        <v>3044</v>
      </c>
      <c r="B62" s="7" t="s">
        <v>79</v>
      </c>
      <c r="C62" t="s">
        <v>16</v>
      </c>
      <c r="D62" t="s">
        <v>319</v>
      </c>
      <c r="F62" t="s">
        <v>328</v>
      </c>
      <c r="G62">
        <f t="shared" si="0"/>
        <v>3044</v>
      </c>
      <c r="H62" t="str">
        <f t="shared" si="1"/>
        <v>`          BS Development Communication</v>
      </c>
      <c r="I62" t="s">
        <v>527</v>
      </c>
      <c r="J62" t="str">
        <f t="shared" si="2"/>
        <v>&lt;G2P&gt;&lt;G1P&gt;`          BS Development Communication</v>
      </c>
      <c r="S62" s="19">
        <v>3044</v>
      </c>
      <c r="T62" s="11" t="s">
        <v>79</v>
      </c>
      <c r="U62" t="s">
        <v>16</v>
      </c>
      <c r="V62" t="s">
        <v>320</v>
      </c>
      <c r="X62" t="s">
        <v>328</v>
      </c>
      <c r="Y62" s="23">
        <f t="shared" si="3"/>
        <v>3044</v>
      </c>
      <c r="Z62" s="23" t="str">
        <f t="shared" si="4"/>
        <v>`               BS Development Communication</v>
      </c>
    </row>
    <row r="63" spans="1:26" x14ac:dyDescent="0.25">
      <c r="A63" s="6">
        <v>3091</v>
      </c>
      <c r="B63" s="7" t="s">
        <v>80</v>
      </c>
      <c r="C63" t="s">
        <v>16</v>
      </c>
      <c r="D63" t="s">
        <v>319</v>
      </c>
      <c r="F63" t="s">
        <v>328</v>
      </c>
      <c r="G63">
        <f t="shared" si="0"/>
        <v>3091</v>
      </c>
      <c r="H63" t="str">
        <f t="shared" si="1"/>
        <v>`          BA Organizational Communication</v>
      </c>
      <c r="I63" t="s">
        <v>527</v>
      </c>
      <c r="J63" t="str">
        <f t="shared" si="2"/>
        <v>&lt;G2P&gt;&lt;G1P&gt;`          BA Organizational Communication</v>
      </c>
      <c r="S63" s="19">
        <v>3091</v>
      </c>
      <c r="T63" s="11" t="s">
        <v>80</v>
      </c>
      <c r="U63" t="s">
        <v>16</v>
      </c>
      <c r="V63" t="s">
        <v>320</v>
      </c>
      <c r="X63" t="s">
        <v>328</v>
      </c>
      <c r="Y63" s="23">
        <f t="shared" si="3"/>
        <v>3091</v>
      </c>
      <c r="Z63" s="23" t="str">
        <f t="shared" si="4"/>
        <v>`               BA Organizational Communication</v>
      </c>
    </row>
    <row r="64" spans="1:26" x14ac:dyDescent="0.25">
      <c r="A64" s="6">
        <v>3115</v>
      </c>
      <c r="B64" s="7" t="s">
        <v>340</v>
      </c>
      <c r="C64" t="s">
        <v>16</v>
      </c>
      <c r="D64" t="s">
        <v>319</v>
      </c>
      <c r="F64" t="s">
        <v>328</v>
      </c>
      <c r="G64">
        <f t="shared" si="0"/>
        <v>3115</v>
      </c>
      <c r="H64" t="str">
        <f t="shared" si="1"/>
        <v>`          AB Anthropology</v>
      </c>
      <c r="I64" t="s">
        <v>527</v>
      </c>
      <c r="J64" t="str">
        <f t="shared" si="2"/>
        <v>&lt;G2P&gt;&lt;G1P&gt;`          AB Anthropology</v>
      </c>
      <c r="S64" s="19">
        <v>3115</v>
      </c>
      <c r="T64" s="11" t="s">
        <v>340</v>
      </c>
      <c r="U64" t="s">
        <v>16</v>
      </c>
      <c r="V64" t="s">
        <v>320</v>
      </c>
      <c r="X64" t="s">
        <v>328</v>
      </c>
      <c r="Y64" s="23">
        <f t="shared" si="3"/>
        <v>3115</v>
      </c>
      <c r="Z64" s="23" t="str">
        <f t="shared" si="4"/>
        <v>`               AB Anthropology</v>
      </c>
    </row>
    <row r="65" spans="1:26" x14ac:dyDescent="0.25">
      <c r="A65" s="6">
        <v>3112</v>
      </c>
      <c r="B65" s="7" t="s">
        <v>341</v>
      </c>
      <c r="C65" t="s">
        <v>16</v>
      </c>
      <c r="D65" t="s">
        <v>319</v>
      </c>
      <c r="F65" t="s">
        <v>328</v>
      </c>
      <c r="G65">
        <f t="shared" si="0"/>
        <v>3112</v>
      </c>
      <c r="H65" t="str">
        <f t="shared" si="1"/>
        <v>`          BS Geography</v>
      </c>
      <c r="I65" t="s">
        <v>529</v>
      </c>
      <c r="J65" t="str">
        <f t="shared" si="2"/>
        <v>&lt;G3E&gt;&lt;G2P&gt;&lt;G1P&gt;`          BS Geography</v>
      </c>
      <c r="S65" s="19">
        <v>3112</v>
      </c>
      <c r="T65" s="11" t="s">
        <v>341</v>
      </c>
      <c r="U65" t="s">
        <v>16</v>
      </c>
      <c r="V65" t="s">
        <v>320</v>
      </c>
      <c r="X65" t="s">
        <v>328</v>
      </c>
      <c r="Y65" s="23">
        <f t="shared" si="3"/>
        <v>3112</v>
      </c>
      <c r="Z65" s="23" t="str">
        <f t="shared" si="4"/>
        <v>`               BS Geography</v>
      </c>
    </row>
    <row r="66" spans="1:26" ht="15.75" x14ac:dyDescent="0.25">
      <c r="A66" s="4" t="s">
        <v>362</v>
      </c>
      <c r="B66" s="15" t="s">
        <v>81</v>
      </c>
      <c r="C66" t="s">
        <v>6</v>
      </c>
      <c r="D66" t="s">
        <v>323</v>
      </c>
      <c r="E66" t="s">
        <v>322</v>
      </c>
      <c r="F66" t="s">
        <v>327</v>
      </c>
      <c r="G66" t="str">
        <f t="shared" ref="G66:G129" si="5">IF(A66="","",A66)</f>
        <v>1010+1008+1009+1079+1011+1151+1187+1039+1041+1013+1014+3082+1042+1182+3014+1045+1015+3079+1082+1084+1120+1170+1171+1179+1181+1185+1196+3033+3027+1200+1203+1123+1157+1158+1159+1138+1012+3034+3016+3076+1176+3019+3032+3057+3056+3008+3030+3048+3055+3060+3061+3066+3085+3086+3087+3095+3096+3101+3105+3107+3114+3120+3123+1073+2005+1208+3047+1133+3043+1137+1201+3050+3026+3098+3124+1016+3059+1017+1052+1018+1121+1040+1053+1050+1112+1078+1057+1080+1091+1101+1106+1122+1134+1147+1149+1131+1150+3074+1167+1019+1168+1172+1109+3062+1173+1178+1188+1216+3037+3046+3088+3113+3119+3121+3122+1020+1021+1035+1114+1038+1076+3063+1046+1047+1117+1189+3064+1090+1113+3013+1092+1093+1105+3067+1100+1139+1148+3078+1152+1184+1198+1115+1205+1206+3035+1095+3001+3031+3036+3077+3083+3090+3093+1022+1023+3018+1025+1026+1027+1044+1051+1054+1055+1056+2003+1081+1083+1183+3038+1085+1024+1087+1088+1089+1094+2008+1096+2002+2004+1098+1103+1104+1111+1118+1043+1128+1132+1162+3005+3021+3045+3049+1164+1174+1180+1191+1202+1204+1207+1210+1135+1136+1074+1075+1097+1161+1211+3029+3041+3042+3051+3052+3053+3058+3073+3080+3081+3092+3108+3116+3117+3125</v>
      </c>
      <c r="H66" t="str">
        <f t="shared" ref="H66:H129" si="6">_xlfn.CONCAT(D66,SUBSTITUTE(B66,"""","`"""),E66)</f>
        <v>`BACHELOR OF SCIENCE (NET)&lt;Q&gt;</v>
      </c>
      <c r="J66" t="str">
        <f t="shared" ref="J66:J129" si="7">_xlfn.CONCAT(I66,H66)</f>
        <v>`BACHELOR OF SCIENCE (NET)&lt;Q&gt;</v>
      </c>
      <c r="S66" s="20" t="s">
        <v>354</v>
      </c>
      <c r="T66" s="12" t="s">
        <v>81</v>
      </c>
      <c r="U66" t="s">
        <v>6</v>
      </c>
      <c r="V66" t="s">
        <v>323</v>
      </c>
      <c r="W66" t="s">
        <v>322</v>
      </c>
      <c r="X66" t="s">
        <v>327</v>
      </c>
      <c r="Y66" s="23" t="str">
        <f t="shared" si="3"/>
        <v>1010+1008+1009+1079+1011+1151+1187+1039+1041+1013+1014+3082+1042+1182+3014+1045+1015+3079+1082+1084+1120+1170+1171+1179+1181+1185+1196+3033+3027+1200+1203+1123+1157+1158+1159+1138+1012+3034+3016+3076+1176+3019+3032+3057+3056+3008+3030+3048+3055+3060+3061+3066+3085+3086+3087+3095+3096+3101+3105+3107+3114+3120+1073+2005+1208+3047+1133+3043+1137+1201+3050+3026+3098+1016+3059+1017+1052+1018+1121+1040+1053+1050+1112+1078+1057+1080+1091+1101+1106+1122+1134+1147+1149+1131+1150+3074+1167+1019+1168+1172+1109+3062+1173+1178+1188+1216+3037+3046+3088+3113+3119+3121+1020+1021+1035+1114+1038+1076+3063+1046+1047+1117+1189+3064+1090+1113+3013+1092+1093+1105+3067+1100+1139+1148+3078+1152+1184+1198+1115+1205+1206+3035+1095+3001+3031+3036+3077+3083+3090+3093+1022+1023+3018+1025+1026+1027+1044+1051+1054+1055+1056+2003+1081+1083+1183+3038+1085+1024+1087+1088+1089+1094+2008+1096+2002+2004+1098+1103+1104+1111+1118+1043+1128+1132+1162+3005+3021+3045+3049+1164+1174+1180+1191+1202+1204+1207+1210+1135+1136+1074+1075+1097+1161+1211+3029+3041+3042+3051+3052+3053+3058+3073+3080+3081+3092+3108+3116+3117</v>
      </c>
      <c r="Z66" s="23" t="str">
        <f t="shared" si="4"/>
        <v>`BACHELOR OF SCIENCE (NET)&lt;Q&gt;</v>
      </c>
    </row>
    <row r="67" spans="1:26" x14ac:dyDescent="0.25">
      <c r="A67" s="4" t="s">
        <v>82</v>
      </c>
      <c r="B67" s="7" t="s">
        <v>83</v>
      </c>
      <c r="C67" t="s">
        <v>16</v>
      </c>
      <c r="D67" t="s">
        <v>318</v>
      </c>
      <c r="F67" t="s">
        <v>326</v>
      </c>
      <c r="G67" t="str">
        <f t="shared" si="5"/>
        <v>1010+1008+1009+1079</v>
      </c>
      <c r="H67" t="str">
        <f t="shared" si="6"/>
        <v>`     BS Architecture</v>
      </c>
      <c r="I67" t="s">
        <v>520</v>
      </c>
      <c r="J67" t="str">
        <f t="shared" si="7"/>
        <v>&lt;G2B&gt;&lt;G1P&gt;`     BS Architecture</v>
      </c>
      <c r="S67" s="20" t="s">
        <v>82</v>
      </c>
      <c r="T67" s="11" t="s">
        <v>83</v>
      </c>
      <c r="U67" t="s">
        <v>16</v>
      </c>
      <c r="V67" t="s">
        <v>318</v>
      </c>
      <c r="X67" t="s">
        <v>326</v>
      </c>
      <c r="Y67" s="23" t="str">
        <f t="shared" ref="Y67:Y130" si="8">IF(S67="","",S67)</f>
        <v>1010+1008+1009+1079</v>
      </c>
      <c r="Z67" s="23" t="str">
        <f t="shared" ref="Z67:Z130" si="9">V67&amp;T67&amp;W67</f>
        <v>`     BS Architecture</v>
      </c>
    </row>
    <row r="68" spans="1:26" x14ac:dyDescent="0.25">
      <c r="A68" s="4" t="s">
        <v>84</v>
      </c>
      <c r="B68" s="7" t="s">
        <v>85</v>
      </c>
      <c r="C68" t="s">
        <v>16</v>
      </c>
      <c r="D68" t="s">
        <v>318</v>
      </c>
      <c r="F68" t="s">
        <v>326</v>
      </c>
      <c r="G68" t="str">
        <f t="shared" si="5"/>
        <v>1011+1151+1187</v>
      </c>
      <c r="H68" t="str">
        <f t="shared" si="6"/>
        <v>`     BS Mathematics</v>
      </c>
      <c r="I68" t="s">
        <v>522</v>
      </c>
      <c r="J68" t="str">
        <f t="shared" si="7"/>
        <v>&lt;G1P&gt;`     BS Mathematics</v>
      </c>
      <c r="S68" s="20" t="s">
        <v>84</v>
      </c>
      <c r="T68" s="11" t="s">
        <v>85</v>
      </c>
      <c r="U68" t="s">
        <v>16</v>
      </c>
      <c r="V68" t="s">
        <v>318</v>
      </c>
      <c r="X68" t="s">
        <v>326</v>
      </c>
      <c r="Y68" s="23" t="str">
        <f t="shared" si="8"/>
        <v>1011+1151+1187</v>
      </c>
      <c r="Z68" s="23" t="str">
        <f t="shared" si="9"/>
        <v>`     BS Mathematics</v>
      </c>
    </row>
    <row r="69" spans="1:26" x14ac:dyDescent="0.25">
      <c r="A69" s="4">
        <v>1039</v>
      </c>
      <c r="B69" s="7" t="s">
        <v>86</v>
      </c>
      <c r="C69" t="s">
        <v>16</v>
      </c>
      <c r="D69" t="s">
        <v>318</v>
      </c>
      <c r="F69" t="s">
        <v>326</v>
      </c>
      <c r="G69">
        <f t="shared" si="5"/>
        <v>1039</v>
      </c>
      <c r="H69" t="str">
        <f t="shared" si="6"/>
        <v>`     BS Chemistry</v>
      </c>
      <c r="I69" t="s">
        <v>522</v>
      </c>
      <c r="J69" t="str">
        <f t="shared" si="7"/>
        <v>&lt;G1P&gt;`     BS Chemistry</v>
      </c>
      <c r="S69" s="20">
        <v>1039</v>
      </c>
      <c r="T69" s="11" t="s">
        <v>86</v>
      </c>
      <c r="U69" t="s">
        <v>16</v>
      </c>
      <c r="V69" t="s">
        <v>318</v>
      </c>
      <c r="X69" t="s">
        <v>326</v>
      </c>
      <c r="Y69" s="23">
        <f t="shared" si="8"/>
        <v>1039</v>
      </c>
      <c r="Z69" s="23" t="str">
        <f t="shared" si="9"/>
        <v>`     BS Chemistry</v>
      </c>
    </row>
    <row r="70" spans="1:26" x14ac:dyDescent="0.25">
      <c r="A70" s="4" t="s">
        <v>87</v>
      </c>
      <c r="B70" s="7" t="s">
        <v>88</v>
      </c>
      <c r="C70" t="s">
        <v>16</v>
      </c>
      <c r="D70" t="s">
        <v>318</v>
      </c>
      <c r="F70" t="s">
        <v>326</v>
      </c>
      <c r="G70" t="str">
        <f t="shared" si="5"/>
        <v>1041+1013+1014+3082</v>
      </c>
      <c r="H70" t="str">
        <f t="shared" si="6"/>
        <v>`     BS Computer Science</v>
      </c>
      <c r="I70" t="s">
        <v>522</v>
      </c>
      <c r="J70" t="str">
        <f t="shared" si="7"/>
        <v>&lt;G1P&gt;`     BS Computer Science</v>
      </c>
      <c r="S70" s="20" t="s">
        <v>87</v>
      </c>
      <c r="T70" s="11" t="s">
        <v>88</v>
      </c>
      <c r="U70" t="s">
        <v>16</v>
      </c>
      <c r="V70" t="s">
        <v>318</v>
      </c>
      <c r="X70" t="s">
        <v>326</v>
      </c>
      <c r="Y70" s="23" t="str">
        <f t="shared" si="8"/>
        <v>1041+1013+1014+3082</v>
      </c>
      <c r="Z70" s="23" t="str">
        <f t="shared" si="9"/>
        <v>`     BS Computer Science</v>
      </c>
    </row>
    <row r="71" spans="1:26" x14ac:dyDescent="0.25">
      <c r="A71" s="4" t="s">
        <v>89</v>
      </c>
      <c r="B71" s="7" t="s">
        <v>90</v>
      </c>
      <c r="C71" t="s">
        <v>16</v>
      </c>
      <c r="D71" t="s">
        <v>318</v>
      </c>
      <c r="F71" t="s">
        <v>326</v>
      </c>
      <c r="G71" t="str">
        <f t="shared" si="5"/>
        <v>1042+1182+3014</v>
      </c>
      <c r="H71" t="str">
        <f t="shared" si="6"/>
        <v>`     BS Criminology</v>
      </c>
      <c r="I71" t="s">
        <v>522</v>
      </c>
      <c r="J71" t="str">
        <f t="shared" si="7"/>
        <v>&lt;G1P&gt;`     BS Criminology</v>
      </c>
      <c r="S71" s="20" t="s">
        <v>89</v>
      </c>
      <c r="T71" s="11" t="s">
        <v>90</v>
      </c>
      <c r="U71" t="s">
        <v>16</v>
      </c>
      <c r="V71" t="s">
        <v>318</v>
      </c>
      <c r="X71" t="s">
        <v>326</v>
      </c>
      <c r="Y71" s="23" t="str">
        <f t="shared" si="8"/>
        <v>1042+1182+3014</v>
      </c>
      <c r="Z71" s="23" t="str">
        <f t="shared" si="9"/>
        <v>`     BS Criminology</v>
      </c>
    </row>
    <row r="72" spans="1:26" x14ac:dyDescent="0.25">
      <c r="A72" s="4" t="s">
        <v>91</v>
      </c>
      <c r="B72" s="7" t="s">
        <v>92</v>
      </c>
      <c r="C72" t="s">
        <v>16</v>
      </c>
      <c r="D72" t="s">
        <v>318</v>
      </c>
      <c r="F72" t="s">
        <v>326</v>
      </c>
      <c r="G72" t="str">
        <f t="shared" si="5"/>
        <v>1045+1015+3079</v>
      </c>
      <c r="H72" t="str">
        <f t="shared" si="6"/>
        <v>`     BS Information Technology</v>
      </c>
      <c r="I72" t="s">
        <v>522</v>
      </c>
      <c r="J72" t="str">
        <f t="shared" si="7"/>
        <v>&lt;G1P&gt;`     BS Information Technology</v>
      </c>
      <c r="S72" s="20" t="s">
        <v>91</v>
      </c>
      <c r="T72" s="11" t="s">
        <v>92</v>
      </c>
      <c r="U72" t="s">
        <v>16</v>
      </c>
      <c r="V72" t="s">
        <v>318</v>
      </c>
      <c r="X72" t="s">
        <v>326</v>
      </c>
      <c r="Y72" s="23" t="str">
        <f t="shared" si="8"/>
        <v>1045+1015+3079</v>
      </c>
      <c r="Z72" s="23" t="str">
        <f t="shared" si="9"/>
        <v>`     BS Information Technology</v>
      </c>
    </row>
    <row r="73" spans="1:26" x14ac:dyDescent="0.25">
      <c r="A73" s="4">
        <v>1082</v>
      </c>
      <c r="B73" s="7" t="s">
        <v>93</v>
      </c>
      <c r="C73" t="s">
        <v>16</v>
      </c>
      <c r="D73" t="s">
        <v>318</v>
      </c>
      <c r="F73" t="s">
        <v>326</v>
      </c>
      <c r="G73">
        <f t="shared" si="5"/>
        <v>1082</v>
      </c>
      <c r="H73" t="str">
        <f t="shared" si="6"/>
        <v>`     BS Food Technology</v>
      </c>
      <c r="I73" t="s">
        <v>522</v>
      </c>
      <c r="J73" t="str">
        <f t="shared" si="7"/>
        <v>&lt;G1P&gt;`     BS Food Technology</v>
      </c>
      <c r="S73" s="20">
        <v>1082</v>
      </c>
      <c r="T73" s="11" t="s">
        <v>93</v>
      </c>
      <c r="U73" t="s">
        <v>16</v>
      </c>
      <c r="V73" t="s">
        <v>318</v>
      </c>
      <c r="X73" t="s">
        <v>326</v>
      </c>
      <c r="Y73" s="23">
        <f t="shared" si="8"/>
        <v>1082</v>
      </c>
      <c r="Z73" s="23" t="str">
        <f t="shared" si="9"/>
        <v>`     BS Food Technology</v>
      </c>
    </row>
    <row r="74" spans="1:26" x14ac:dyDescent="0.25">
      <c r="A74" s="4">
        <v>1084</v>
      </c>
      <c r="B74" s="7" t="s">
        <v>94</v>
      </c>
      <c r="C74" t="s">
        <v>16</v>
      </c>
      <c r="D74" t="s">
        <v>318</v>
      </c>
      <c r="F74" t="s">
        <v>326</v>
      </c>
      <c r="G74">
        <f t="shared" si="5"/>
        <v>1084</v>
      </c>
      <c r="H74" t="str">
        <f t="shared" si="6"/>
        <v>`     BS Data Science and Analytics</v>
      </c>
      <c r="I74" t="s">
        <v>522</v>
      </c>
      <c r="J74" t="str">
        <f t="shared" si="7"/>
        <v>&lt;G1P&gt;`     BS Data Science and Analytics</v>
      </c>
      <c r="S74" s="20">
        <v>1084</v>
      </c>
      <c r="T74" s="11" t="s">
        <v>94</v>
      </c>
      <c r="U74" t="s">
        <v>16</v>
      </c>
      <c r="V74" t="s">
        <v>318</v>
      </c>
      <c r="X74" t="s">
        <v>326</v>
      </c>
      <c r="Y74" s="23">
        <f t="shared" si="8"/>
        <v>1084</v>
      </c>
      <c r="Z74" s="23" t="str">
        <f t="shared" si="9"/>
        <v>`     BS Data Science and Analytics</v>
      </c>
    </row>
    <row r="75" spans="1:26" x14ac:dyDescent="0.25">
      <c r="A75" s="4">
        <v>1120</v>
      </c>
      <c r="B75" s="7" t="s">
        <v>95</v>
      </c>
      <c r="C75" t="s">
        <v>16</v>
      </c>
      <c r="D75" t="s">
        <v>318</v>
      </c>
      <c r="F75" t="s">
        <v>326</v>
      </c>
      <c r="G75">
        <f t="shared" si="5"/>
        <v>1120</v>
      </c>
      <c r="H75" t="str">
        <f t="shared" si="6"/>
        <v>`     BS Applied Physics</v>
      </c>
      <c r="I75" t="s">
        <v>522</v>
      </c>
      <c r="J75" t="str">
        <f t="shared" si="7"/>
        <v>&lt;G1P&gt;`     BS Applied Physics</v>
      </c>
      <c r="S75" s="20">
        <v>1120</v>
      </c>
      <c r="T75" s="11" t="s">
        <v>95</v>
      </c>
      <c r="U75" t="s">
        <v>16</v>
      </c>
      <c r="V75" t="s">
        <v>318</v>
      </c>
      <c r="X75" t="s">
        <v>326</v>
      </c>
      <c r="Y75" s="23">
        <f t="shared" si="8"/>
        <v>1120</v>
      </c>
      <c r="Z75" s="23" t="str">
        <f t="shared" si="9"/>
        <v>`     BS Applied Physics</v>
      </c>
    </row>
    <row r="76" spans="1:26" x14ac:dyDescent="0.25">
      <c r="A76" s="4">
        <v>1170</v>
      </c>
      <c r="B76" s="7" t="s">
        <v>96</v>
      </c>
      <c r="C76" t="s">
        <v>16</v>
      </c>
      <c r="D76" t="s">
        <v>318</v>
      </c>
      <c r="F76" t="s">
        <v>326</v>
      </c>
      <c r="G76">
        <f t="shared" si="5"/>
        <v>1170</v>
      </c>
      <c r="H76" t="str">
        <f t="shared" si="6"/>
        <v>`     BS Management of Applied Chemistry</v>
      </c>
      <c r="I76" t="s">
        <v>522</v>
      </c>
      <c r="J76" t="str">
        <f t="shared" si="7"/>
        <v>&lt;G1P&gt;`     BS Management of Applied Chemistry</v>
      </c>
      <c r="S76" s="20">
        <v>1170</v>
      </c>
      <c r="T76" s="11" t="s">
        <v>96</v>
      </c>
      <c r="U76" t="s">
        <v>16</v>
      </c>
      <c r="V76" t="s">
        <v>318</v>
      </c>
      <c r="X76" t="s">
        <v>326</v>
      </c>
      <c r="Y76" s="23">
        <f t="shared" si="8"/>
        <v>1170</v>
      </c>
      <c r="Z76" s="23" t="str">
        <f t="shared" si="9"/>
        <v>`     BS Management of Applied Chemistry</v>
      </c>
    </row>
    <row r="77" spans="1:26" x14ac:dyDescent="0.25">
      <c r="A77" s="4">
        <v>1171</v>
      </c>
      <c r="B77" s="7" t="s">
        <v>97</v>
      </c>
      <c r="C77" t="s">
        <v>16</v>
      </c>
      <c r="D77" t="s">
        <v>318</v>
      </c>
      <c r="F77" t="s">
        <v>326</v>
      </c>
      <c r="G77">
        <f t="shared" si="5"/>
        <v>1171</v>
      </c>
      <c r="H77" t="str">
        <f t="shared" si="6"/>
        <v>`     BS Statistics</v>
      </c>
      <c r="I77" t="s">
        <v>522</v>
      </c>
      <c r="J77" t="str">
        <f t="shared" si="7"/>
        <v>&lt;G1P&gt;`     BS Statistics</v>
      </c>
      <c r="S77" s="20">
        <v>1171</v>
      </c>
      <c r="T77" s="11" t="s">
        <v>97</v>
      </c>
      <c r="U77" t="s">
        <v>16</v>
      </c>
      <c r="V77" t="s">
        <v>318</v>
      </c>
      <c r="X77" t="s">
        <v>326</v>
      </c>
      <c r="Y77" s="23">
        <f t="shared" si="8"/>
        <v>1171</v>
      </c>
      <c r="Z77" s="23" t="str">
        <f t="shared" si="9"/>
        <v>`     BS Statistics</v>
      </c>
    </row>
    <row r="78" spans="1:26" x14ac:dyDescent="0.25">
      <c r="A78" s="4">
        <v>1179</v>
      </c>
      <c r="B78" s="7" t="s">
        <v>98</v>
      </c>
      <c r="C78" t="s">
        <v>16</v>
      </c>
      <c r="D78" t="s">
        <v>318</v>
      </c>
      <c r="F78" t="s">
        <v>326</v>
      </c>
      <c r="G78">
        <f t="shared" si="5"/>
        <v>1179</v>
      </c>
      <c r="H78" t="str">
        <f t="shared" si="6"/>
        <v>`     BS Physics</v>
      </c>
      <c r="I78" t="s">
        <v>522</v>
      </c>
      <c r="J78" t="str">
        <f t="shared" si="7"/>
        <v>&lt;G1P&gt;`     BS Physics</v>
      </c>
      <c r="S78" s="20">
        <v>1179</v>
      </c>
      <c r="T78" s="11" t="s">
        <v>98</v>
      </c>
      <c r="U78" t="s">
        <v>16</v>
      </c>
      <c r="V78" t="s">
        <v>318</v>
      </c>
      <c r="X78" t="s">
        <v>326</v>
      </c>
      <c r="Y78" s="23">
        <f t="shared" si="8"/>
        <v>1179</v>
      </c>
      <c r="Z78" s="23" t="str">
        <f t="shared" si="9"/>
        <v>`     BS Physics</v>
      </c>
    </row>
    <row r="79" spans="1:26" x14ac:dyDescent="0.25">
      <c r="A79" s="4">
        <v>1181</v>
      </c>
      <c r="B79" s="7" t="s">
        <v>99</v>
      </c>
      <c r="C79" t="s">
        <v>16</v>
      </c>
      <c r="D79" t="s">
        <v>318</v>
      </c>
      <c r="F79" t="s">
        <v>326</v>
      </c>
      <c r="G79">
        <f t="shared" si="5"/>
        <v>1181</v>
      </c>
      <c r="H79" t="str">
        <f t="shared" si="6"/>
        <v>`     BS Electronics Technology</v>
      </c>
      <c r="I79" t="s">
        <v>522</v>
      </c>
      <c r="J79" t="str">
        <f t="shared" si="7"/>
        <v>&lt;G1P&gt;`     BS Electronics Technology</v>
      </c>
      <c r="S79" s="20">
        <v>1181</v>
      </c>
      <c r="T79" s="11" t="s">
        <v>99</v>
      </c>
      <c r="U79" t="s">
        <v>16</v>
      </c>
      <c r="V79" t="s">
        <v>318</v>
      </c>
      <c r="X79" t="s">
        <v>326</v>
      </c>
      <c r="Y79" s="23">
        <f t="shared" si="8"/>
        <v>1181</v>
      </c>
      <c r="Z79" s="23" t="str">
        <f t="shared" si="9"/>
        <v>`     BS Electronics Technology</v>
      </c>
    </row>
    <row r="80" spans="1:26" x14ac:dyDescent="0.25">
      <c r="A80" s="4">
        <v>1185</v>
      </c>
      <c r="B80" s="7" t="s">
        <v>100</v>
      </c>
      <c r="C80" t="s">
        <v>16</v>
      </c>
      <c r="D80" t="s">
        <v>318</v>
      </c>
      <c r="F80" t="s">
        <v>326</v>
      </c>
      <c r="G80">
        <f t="shared" si="5"/>
        <v>1185</v>
      </c>
      <c r="H80" t="str">
        <f t="shared" si="6"/>
        <v>`     Information and Communication Technology</v>
      </c>
      <c r="I80" t="s">
        <v>522</v>
      </c>
      <c r="J80" t="str">
        <f t="shared" si="7"/>
        <v>&lt;G1P&gt;`     Information and Communication Technology</v>
      </c>
      <c r="S80" s="20">
        <v>1185</v>
      </c>
      <c r="T80" s="11" t="s">
        <v>100</v>
      </c>
      <c r="U80" t="s">
        <v>16</v>
      </c>
      <c r="V80" t="s">
        <v>318</v>
      </c>
      <c r="X80" t="s">
        <v>326</v>
      </c>
      <c r="Y80" s="23">
        <f t="shared" si="8"/>
        <v>1185</v>
      </c>
      <c r="Z80" s="23" t="str">
        <f t="shared" si="9"/>
        <v>`     Information and Communication Technology</v>
      </c>
    </row>
    <row r="81" spans="1:26" x14ac:dyDescent="0.25">
      <c r="A81" s="4" t="s">
        <v>101</v>
      </c>
      <c r="B81" s="7" t="s">
        <v>102</v>
      </c>
      <c r="C81" t="s">
        <v>16</v>
      </c>
      <c r="D81" t="s">
        <v>318</v>
      </c>
      <c r="F81" t="s">
        <v>326</v>
      </c>
      <c r="G81" t="str">
        <f t="shared" si="5"/>
        <v>1196+3033+3027</v>
      </c>
      <c r="H81" t="str">
        <f t="shared" si="6"/>
        <v>`     BS Environmental Science Major in Environmental Heritage Studies</v>
      </c>
      <c r="I81" t="s">
        <v>522</v>
      </c>
      <c r="J81" t="str">
        <f t="shared" si="7"/>
        <v>&lt;G1P&gt;`     BS Environmental Science Major in Environmental Heritage Studies</v>
      </c>
      <c r="S81" s="20" t="s">
        <v>101</v>
      </c>
      <c r="T81" s="11" t="s">
        <v>102</v>
      </c>
      <c r="U81" t="s">
        <v>16</v>
      </c>
      <c r="V81" t="s">
        <v>318</v>
      </c>
      <c r="X81" t="s">
        <v>326</v>
      </c>
      <c r="Y81" s="23" t="str">
        <f t="shared" si="8"/>
        <v>1196+3033+3027</v>
      </c>
      <c r="Z81" s="23" t="str">
        <f t="shared" si="9"/>
        <v>`     BS Environmental Science Major in Environmental Heritage Studies</v>
      </c>
    </row>
    <row r="82" spans="1:26" x14ac:dyDescent="0.25">
      <c r="A82" s="4">
        <v>1200</v>
      </c>
      <c r="B82" s="7" t="s">
        <v>103</v>
      </c>
      <c r="C82" t="s">
        <v>16</v>
      </c>
      <c r="D82" t="s">
        <v>318</v>
      </c>
      <c r="F82" t="s">
        <v>326</v>
      </c>
      <c r="G82">
        <f t="shared" si="5"/>
        <v>1200</v>
      </c>
      <c r="H82" t="str">
        <f t="shared" si="6"/>
        <v>`     BS Applied Mathematics</v>
      </c>
      <c r="I82" t="s">
        <v>522</v>
      </c>
      <c r="J82" t="str">
        <f t="shared" si="7"/>
        <v>&lt;G1P&gt;`     BS Applied Mathematics</v>
      </c>
      <c r="S82" s="20">
        <v>1200</v>
      </c>
      <c r="T82" s="11" t="s">
        <v>103</v>
      </c>
      <c r="U82" t="s">
        <v>16</v>
      </c>
      <c r="V82" t="s">
        <v>318</v>
      </c>
      <c r="X82" t="s">
        <v>326</v>
      </c>
      <c r="Y82" s="23">
        <f t="shared" si="8"/>
        <v>1200</v>
      </c>
      <c r="Z82" s="23" t="str">
        <f t="shared" si="9"/>
        <v>`     BS Applied Mathematics</v>
      </c>
    </row>
    <row r="83" spans="1:26" x14ac:dyDescent="0.25">
      <c r="A83" s="4">
        <v>1203</v>
      </c>
      <c r="B83" s="7" t="s">
        <v>104</v>
      </c>
      <c r="C83" t="s">
        <v>16</v>
      </c>
      <c r="D83" t="s">
        <v>318</v>
      </c>
      <c r="F83" t="s">
        <v>326</v>
      </c>
      <c r="G83">
        <f t="shared" si="5"/>
        <v>1203</v>
      </c>
      <c r="H83" t="str">
        <f t="shared" si="6"/>
        <v>`     BS Aviation Technology</v>
      </c>
      <c r="I83" t="s">
        <v>522</v>
      </c>
      <c r="J83" t="str">
        <f t="shared" si="7"/>
        <v>&lt;G1P&gt;`     BS Aviation Technology</v>
      </c>
      <c r="S83" s="20">
        <v>1203</v>
      </c>
      <c r="T83" s="11" t="s">
        <v>104</v>
      </c>
      <c r="U83" t="s">
        <v>16</v>
      </c>
      <c r="V83" t="s">
        <v>318</v>
      </c>
      <c r="X83" t="s">
        <v>326</v>
      </c>
      <c r="Y83" s="23">
        <f t="shared" si="8"/>
        <v>1203</v>
      </c>
      <c r="Z83" s="23" t="str">
        <f t="shared" si="9"/>
        <v>`     BS Aviation Technology</v>
      </c>
    </row>
    <row r="84" spans="1:26" x14ac:dyDescent="0.25">
      <c r="A84" s="6" t="s">
        <v>105</v>
      </c>
      <c r="B84" s="7" t="s">
        <v>106</v>
      </c>
      <c r="C84" t="s">
        <v>16</v>
      </c>
      <c r="D84" t="s">
        <v>318</v>
      </c>
      <c r="F84" t="s">
        <v>326</v>
      </c>
      <c r="G84" t="str">
        <f t="shared" si="5"/>
        <v>1123+1157+1158+1159</v>
      </c>
      <c r="H84" t="str">
        <f t="shared" si="6"/>
        <v>`     BS Industrial Technology</v>
      </c>
      <c r="I84" t="s">
        <v>522</v>
      </c>
      <c r="J84" t="str">
        <f t="shared" si="7"/>
        <v>&lt;G1P&gt;`     BS Industrial Technology</v>
      </c>
      <c r="S84" s="19" t="s">
        <v>105</v>
      </c>
      <c r="T84" s="11" t="s">
        <v>106</v>
      </c>
      <c r="U84" t="s">
        <v>16</v>
      </c>
      <c r="V84" t="s">
        <v>318</v>
      </c>
      <c r="X84" t="s">
        <v>326</v>
      </c>
      <c r="Y84" s="23" t="str">
        <f t="shared" si="8"/>
        <v>1123+1157+1158+1159</v>
      </c>
      <c r="Z84" s="23" t="str">
        <f t="shared" si="9"/>
        <v>`     BS Industrial Technology</v>
      </c>
    </row>
    <row r="85" spans="1:26" x14ac:dyDescent="0.25">
      <c r="A85" s="6" t="s">
        <v>107</v>
      </c>
      <c r="B85" s="7" t="s">
        <v>108</v>
      </c>
      <c r="C85" t="s">
        <v>16</v>
      </c>
      <c r="D85" t="s">
        <v>318</v>
      </c>
      <c r="F85" t="s">
        <v>326</v>
      </c>
      <c r="G85" t="str">
        <f t="shared" si="5"/>
        <v>1138+1012+3034+3016+3076</v>
      </c>
      <c r="H85" t="str">
        <f t="shared" si="6"/>
        <v>`     Bachelor in Sports Science</v>
      </c>
      <c r="I85" t="s">
        <v>522</v>
      </c>
      <c r="J85" t="str">
        <f t="shared" si="7"/>
        <v>&lt;G1P&gt;`     Bachelor in Sports Science</v>
      </c>
      <c r="S85" s="19" t="s">
        <v>107</v>
      </c>
      <c r="T85" s="11" t="s">
        <v>108</v>
      </c>
      <c r="U85" t="s">
        <v>16</v>
      </c>
      <c r="V85" t="s">
        <v>318</v>
      </c>
      <c r="X85" t="s">
        <v>326</v>
      </c>
      <c r="Y85" s="23" t="str">
        <f t="shared" si="8"/>
        <v>1138+1012+3034+3016+3076</v>
      </c>
      <c r="Z85" s="23" t="str">
        <f t="shared" si="9"/>
        <v>`     Bachelor in Sports Science</v>
      </c>
    </row>
    <row r="86" spans="1:26" x14ac:dyDescent="0.25">
      <c r="A86" s="6">
        <v>1176</v>
      </c>
      <c r="B86" s="7" t="s">
        <v>109</v>
      </c>
      <c r="C86" t="s">
        <v>16</v>
      </c>
      <c r="D86" t="s">
        <v>318</v>
      </c>
      <c r="F86" t="s">
        <v>326</v>
      </c>
      <c r="G86">
        <f t="shared" si="5"/>
        <v>1176</v>
      </c>
      <c r="H86" t="str">
        <f t="shared" si="6"/>
        <v>`     BS Life Science</v>
      </c>
      <c r="I86" t="s">
        <v>522</v>
      </c>
      <c r="J86" t="str">
        <f t="shared" si="7"/>
        <v>&lt;G1P&gt;`     BS Life Science</v>
      </c>
      <c r="S86" s="19">
        <v>1176</v>
      </c>
      <c r="T86" s="11" t="s">
        <v>109</v>
      </c>
      <c r="U86" t="s">
        <v>16</v>
      </c>
      <c r="V86" t="s">
        <v>318</v>
      </c>
      <c r="X86" t="s">
        <v>326</v>
      </c>
      <c r="Y86" s="23">
        <f t="shared" si="8"/>
        <v>1176</v>
      </c>
      <c r="Z86" s="23" t="str">
        <f t="shared" si="9"/>
        <v>`     BS Life Science</v>
      </c>
    </row>
    <row r="87" spans="1:26" x14ac:dyDescent="0.25">
      <c r="A87" s="6" t="s">
        <v>110</v>
      </c>
      <c r="B87" s="7" t="s">
        <v>111</v>
      </c>
      <c r="C87" t="s">
        <v>16</v>
      </c>
      <c r="D87" t="s">
        <v>318</v>
      </c>
      <c r="F87" t="s">
        <v>326</v>
      </c>
      <c r="G87" t="str">
        <f t="shared" si="5"/>
        <v>3019+3032+3057+3056</v>
      </c>
      <c r="H87" t="str">
        <f t="shared" si="6"/>
        <v>`     Bachelor of Agriculture</v>
      </c>
      <c r="I87" t="s">
        <v>522</v>
      </c>
      <c r="J87" t="str">
        <f t="shared" si="7"/>
        <v>&lt;G1P&gt;`     Bachelor of Agriculture</v>
      </c>
      <c r="S87" s="19" t="s">
        <v>110</v>
      </c>
      <c r="T87" s="11" t="s">
        <v>111</v>
      </c>
      <c r="U87" t="s">
        <v>16</v>
      </c>
      <c r="V87" t="s">
        <v>318</v>
      </c>
      <c r="X87" t="s">
        <v>326</v>
      </c>
      <c r="Y87" s="23" t="str">
        <f t="shared" si="8"/>
        <v>3019+3032+3057+3056</v>
      </c>
      <c r="Z87" s="23" t="str">
        <f t="shared" si="9"/>
        <v>`     Bachelor of Agriculture</v>
      </c>
    </row>
    <row r="88" spans="1:26" x14ac:dyDescent="0.25">
      <c r="A88" s="6" t="s">
        <v>112</v>
      </c>
      <c r="B88" s="7" t="s">
        <v>113</v>
      </c>
      <c r="C88" t="s">
        <v>16</v>
      </c>
      <c r="D88" t="s">
        <v>318</v>
      </c>
      <c r="F88" t="s">
        <v>326</v>
      </c>
      <c r="G88" t="str">
        <f t="shared" si="5"/>
        <v>3008+3030</v>
      </c>
      <c r="H88" t="str">
        <f t="shared" si="6"/>
        <v>`     Bachelor of Automotive Technology</v>
      </c>
      <c r="I88" t="s">
        <v>522</v>
      </c>
      <c r="J88" t="str">
        <f t="shared" si="7"/>
        <v>&lt;G1P&gt;`     Bachelor of Automotive Technology</v>
      </c>
      <c r="S88" s="19" t="s">
        <v>112</v>
      </c>
      <c r="T88" s="11" t="s">
        <v>113</v>
      </c>
      <c r="U88" t="s">
        <v>16</v>
      </c>
      <c r="V88" t="s">
        <v>318</v>
      </c>
      <c r="X88" t="s">
        <v>326</v>
      </c>
      <c r="Y88" s="23" t="str">
        <f t="shared" si="8"/>
        <v>3008+3030</v>
      </c>
      <c r="Z88" s="23" t="str">
        <f t="shared" si="9"/>
        <v>`     Bachelor of Automotive Technology</v>
      </c>
    </row>
    <row r="89" spans="1:26" x14ac:dyDescent="0.25">
      <c r="A89" s="6">
        <v>3048</v>
      </c>
      <c r="B89" s="7" t="s">
        <v>114</v>
      </c>
      <c r="C89" t="s">
        <v>16</v>
      </c>
      <c r="D89" t="s">
        <v>318</v>
      </c>
      <c r="F89" t="s">
        <v>326</v>
      </c>
      <c r="G89">
        <f t="shared" si="5"/>
        <v>3048</v>
      </c>
      <c r="H89" t="str">
        <f t="shared" si="6"/>
        <v>`     BS Geology</v>
      </c>
      <c r="I89" t="s">
        <v>522</v>
      </c>
      <c r="J89" t="str">
        <f t="shared" si="7"/>
        <v>&lt;G1P&gt;`     BS Geology</v>
      </c>
      <c r="S89" s="19">
        <v>3048</v>
      </c>
      <c r="T89" s="11" t="s">
        <v>114</v>
      </c>
      <c r="U89" t="s">
        <v>16</v>
      </c>
      <c r="V89" t="s">
        <v>318</v>
      </c>
      <c r="X89" t="s">
        <v>326</v>
      </c>
      <c r="Y89" s="23">
        <f t="shared" si="8"/>
        <v>3048</v>
      </c>
      <c r="Z89" s="23" t="str">
        <f t="shared" si="9"/>
        <v>`     BS Geology</v>
      </c>
    </row>
    <row r="90" spans="1:26" x14ac:dyDescent="0.25">
      <c r="A90" s="6">
        <v>3055</v>
      </c>
      <c r="B90" s="7" t="s">
        <v>115</v>
      </c>
      <c r="C90" t="s">
        <v>16</v>
      </c>
      <c r="D90" t="s">
        <v>318</v>
      </c>
      <c r="F90" t="s">
        <v>326</v>
      </c>
      <c r="G90">
        <f t="shared" si="5"/>
        <v>3055</v>
      </c>
      <c r="H90" t="str">
        <f t="shared" si="6"/>
        <v>`     BS Tourism</v>
      </c>
      <c r="I90" t="s">
        <v>522</v>
      </c>
      <c r="J90" t="str">
        <f t="shared" si="7"/>
        <v>&lt;G1P&gt;`     BS Tourism</v>
      </c>
      <c r="S90" s="19">
        <v>3055</v>
      </c>
      <c r="T90" s="11" t="s">
        <v>115</v>
      </c>
      <c r="U90" t="s">
        <v>16</v>
      </c>
      <c r="V90" t="s">
        <v>318</v>
      </c>
      <c r="X90" t="s">
        <v>326</v>
      </c>
      <c r="Y90" s="23">
        <f t="shared" si="8"/>
        <v>3055</v>
      </c>
      <c r="Z90" s="23" t="str">
        <f t="shared" si="9"/>
        <v>`     BS Tourism</v>
      </c>
    </row>
    <row r="91" spans="1:26" x14ac:dyDescent="0.25">
      <c r="A91" s="6">
        <v>3060</v>
      </c>
      <c r="B91" s="7" t="s">
        <v>116</v>
      </c>
      <c r="C91" t="s">
        <v>16</v>
      </c>
      <c r="D91" t="s">
        <v>318</v>
      </c>
      <c r="F91" t="s">
        <v>326</v>
      </c>
      <c r="G91">
        <f t="shared" si="5"/>
        <v>3060</v>
      </c>
      <c r="H91" t="str">
        <f t="shared" si="6"/>
        <v>`     Diploma Aquaculture Fisheries</v>
      </c>
      <c r="I91" t="s">
        <v>522</v>
      </c>
      <c r="J91" t="str">
        <f t="shared" si="7"/>
        <v>&lt;G1P&gt;`     Diploma Aquaculture Fisheries</v>
      </c>
      <c r="S91" s="19">
        <v>3060</v>
      </c>
      <c r="T91" s="11" t="s">
        <v>116</v>
      </c>
      <c r="U91" t="s">
        <v>16</v>
      </c>
      <c r="V91" t="s">
        <v>318</v>
      </c>
      <c r="X91" t="s">
        <v>326</v>
      </c>
      <c r="Y91" s="23">
        <f t="shared" si="8"/>
        <v>3060</v>
      </c>
      <c r="Z91" s="23" t="str">
        <f t="shared" si="9"/>
        <v>`     Diploma Aquaculture Fisheries</v>
      </c>
    </row>
    <row r="92" spans="1:26" x14ac:dyDescent="0.25">
      <c r="A92" s="6">
        <v>3061</v>
      </c>
      <c r="B92" s="7" t="s">
        <v>117</v>
      </c>
      <c r="C92" t="s">
        <v>16</v>
      </c>
      <c r="D92" t="s">
        <v>318</v>
      </c>
      <c r="F92" t="s">
        <v>326</v>
      </c>
      <c r="G92">
        <f t="shared" si="5"/>
        <v>3061</v>
      </c>
      <c r="H92" t="str">
        <f t="shared" si="6"/>
        <v>`     Diploma in Machine Shop Technology</v>
      </c>
      <c r="I92" t="s">
        <v>522</v>
      </c>
      <c r="J92" t="str">
        <f t="shared" si="7"/>
        <v>&lt;G1P&gt;`     Diploma in Machine Shop Technology</v>
      </c>
      <c r="S92" s="19">
        <v>3061</v>
      </c>
      <c r="T92" s="11" t="s">
        <v>117</v>
      </c>
      <c r="U92" t="s">
        <v>16</v>
      </c>
      <c r="V92" t="s">
        <v>318</v>
      </c>
      <c r="X92" t="s">
        <v>326</v>
      </c>
      <c r="Y92" s="23">
        <f t="shared" si="8"/>
        <v>3061</v>
      </c>
      <c r="Z92" s="23" t="str">
        <f t="shared" si="9"/>
        <v>`     Diploma in Machine Shop Technology</v>
      </c>
    </row>
    <row r="93" spans="1:26" x14ac:dyDescent="0.25">
      <c r="A93" s="6">
        <v>3066</v>
      </c>
      <c r="B93" s="7" t="s">
        <v>118</v>
      </c>
      <c r="C93" t="s">
        <v>16</v>
      </c>
      <c r="D93" t="s">
        <v>318</v>
      </c>
      <c r="F93" t="s">
        <v>326</v>
      </c>
      <c r="G93">
        <f t="shared" si="5"/>
        <v>3066</v>
      </c>
      <c r="H93" t="str">
        <f t="shared" si="6"/>
        <v>`     BS Political Science</v>
      </c>
      <c r="I93" t="s">
        <v>522</v>
      </c>
      <c r="J93" t="str">
        <f t="shared" si="7"/>
        <v>&lt;G1P&gt;`     BS Political Science</v>
      </c>
      <c r="S93" s="19">
        <v>3066</v>
      </c>
      <c r="T93" s="11" t="s">
        <v>118</v>
      </c>
      <c r="U93" t="s">
        <v>16</v>
      </c>
      <c r="V93" t="s">
        <v>318</v>
      </c>
      <c r="X93" t="s">
        <v>326</v>
      </c>
      <c r="Y93" s="23">
        <f t="shared" si="8"/>
        <v>3066</v>
      </c>
      <c r="Z93" s="23" t="str">
        <f t="shared" si="9"/>
        <v>`     BS Political Science</v>
      </c>
    </row>
    <row r="94" spans="1:26" x14ac:dyDescent="0.25">
      <c r="A94" s="6">
        <v>3085</v>
      </c>
      <c r="B94" s="7" t="s">
        <v>119</v>
      </c>
      <c r="C94" t="s">
        <v>16</v>
      </c>
      <c r="D94" t="s">
        <v>318</v>
      </c>
      <c r="F94" t="s">
        <v>326</v>
      </c>
      <c r="G94">
        <f t="shared" si="5"/>
        <v>3085</v>
      </c>
      <c r="H94" t="str">
        <f t="shared" si="6"/>
        <v>`     BS Foreign Affairs</v>
      </c>
      <c r="I94" t="s">
        <v>522</v>
      </c>
      <c r="J94" t="str">
        <f t="shared" si="7"/>
        <v>&lt;G1P&gt;`     BS Foreign Affairs</v>
      </c>
      <c r="S94" s="19">
        <v>3085</v>
      </c>
      <c r="T94" s="11" t="s">
        <v>119</v>
      </c>
      <c r="U94" t="s">
        <v>16</v>
      </c>
      <c r="V94" t="s">
        <v>318</v>
      </c>
      <c r="X94" t="s">
        <v>326</v>
      </c>
      <c r="Y94" s="23">
        <f t="shared" si="8"/>
        <v>3085</v>
      </c>
      <c r="Z94" s="23" t="str">
        <f t="shared" si="9"/>
        <v>`     BS Foreign Affairs</v>
      </c>
    </row>
    <row r="95" spans="1:26" x14ac:dyDescent="0.25">
      <c r="A95" s="6">
        <v>3086</v>
      </c>
      <c r="B95" s="7" t="s">
        <v>120</v>
      </c>
      <c r="C95" t="s">
        <v>16</v>
      </c>
      <c r="D95" t="s">
        <v>318</v>
      </c>
      <c r="F95" t="s">
        <v>326</v>
      </c>
      <c r="G95">
        <f t="shared" si="5"/>
        <v>3086</v>
      </c>
      <c r="H95" t="str">
        <f t="shared" si="6"/>
        <v>`     BS Clothing Technology</v>
      </c>
      <c r="I95" t="s">
        <v>522</v>
      </c>
      <c r="J95" t="str">
        <f t="shared" si="7"/>
        <v>&lt;G1P&gt;`     BS Clothing Technology</v>
      </c>
      <c r="S95" s="19">
        <v>3086</v>
      </c>
      <c r="T95" s="11" t="s">
        <v>120</v>
      </c>
      <c r="U95" t="s">
        <v>16</v>
      </c>
      <c r="V95" t="s">
        <v>318</v>
      </c>
      <c r="X95" t="s">
        <v>326</v>
      </c>
      <c r="Y95" s="23">
        <f t="shared" si="8"/>
        <v>3086</v>
      </c>
      <c r="Z95" s="23" t="str">
        <f t="shared" si="9"/>
        <v>`     BS Clothing Technology</v>
      </c>
    </row>
    <row r="96" spans="1:26" x14ac:dyDescent="0.25">
      <c r="A96" s="6">
        <v>3087</v>
      </c>
      <c r="B96" s="7" t="s">
        <v>121</v>
      </c>
      <c r="C96" t="s">
        <v>16</v>
      </c>
      <c r="D96" t="s">
        <v>318</v>
      </c>
      <c r="F96" t="s">
        <v>326</v>
      </c>
      <c r="G96">
        <f t="shared" si="5"/>
        <v>3087</v>
      </c>
      <c r="H96" t="str">
        <f t="shared" si="6"/>
        <v>`     BS Interior Design</v>
      </c>
      <c r="I96" t="s">
        <v>522</v>
      </c>
      <c r="J96" t="str">
        <f t="shared" si="7"/>
        <v>&lt;G1P&gt;`     BS Interior Design</v>
      </c>
      <c r="S96" s="19">
        <v>3087</v>
      </c>
      <c r="T96" s="11" t="s">
        <v>121</v>
      </c>
      <c r="U96" t="s">
        <v>16</v>
      </c>
      <c r="V96" t="s">
        <v>318</v>
      </c>
      <c r="X96" t="s">
        <v>326</v>
      </c>
      <c r="Y96" s="23">
        <f t="shared" si="8"/>
        <v>3087</v>
      </c>
      <c r="Z96" s="23" t="str">
        <f t="shared" si="9"/>
        <v>`     BS Interior Design</v>
      </c>
    </row>
    <row r="97" spans="1:26" x14ac:dyDescent="0.25">
      <c r="A97" s="6">
        <v>3095</v>
      </c>
      <c r="B97" s="7" t="s">
        <v>122</v>
      </c>
      <c r="C97" t="s">
        <v>16</v>
      </c>
      <c r="D97" t="s">
        <v>318</v>
      </c>
      <c r="F97" t="s">
        <v>326</v>
      </c>
      <c r="G97">
        <f t="shared" si="5"/>
        <v>3095</v>
      </c>
      <c r="H97" t="str">
        <f t="shared" si="6"/>
        <v>`     BS-Digital Forensics</v>
      </c>
      <c r="I97" t="s">
        <v>522</v>
      </c>
      <c r="J97" t="str">
        <f t="shared" si="7"/>
        <v>&lt;G1P&gt;`     BS-Digital Forensics</v>
      </c>
      <c r="S97" s="19">
        <v>3095</v>
      </c>
      <c r="T97" s="11" t="s">
        <v>122</v>
      </c>
      <c r="U97" t="s">
        <v>16</v>
      </c>
      <c r="V97" t="s">
        <v>318</v>
      </c>
      <c r="X97" t="s">
        <v>326</v>
      </c>
      <c r="Y97" s="23">
        <f t="shared" si="8"/>
        <v>3095</v>
      </c>
      <c r="Z97" s="23" t="str">
        <f t="shared" si="9"/>
        <v>`     BS-Digital Forensics</v>
      </c>
    </row>
    <row r="98" spans="1:26" x14ac:dyDescent="0.25">
      <c r="A98" s="6">
        <v>3096</v>
      </c>
      <c r="B98" s="7" t="s">
        <v>123</v>
      </c>
      <c r="C98" t="s">
        <v>16</v>
      </c>
      <c r="D98" t="s">
        <v>318</v>
      </c>
      <c r="F98" t="s">
        <v>326</v>
      </c>
      <c r="G98">
        <f t="shared" si="5"/>
        <v>3096</v>
      </c>
      <c r="H98" t="str">
        <f t="shared" si="6"/>
        <v>`     BS Environmental planning</v>
      </c>
      <c r="I98" t="s">
        <v>522</v>
      </c>
      <c r="J98" t="str">
        <f t="shared" si="7"/>
        <v>&lt;G1P&gt;`     BS Environmental planning</v>
      </c>
      <c r="S98" s="19">
        <v>3096</v>
      </c>
      <c r="T98" s="11" t="s">
        <v>123</v>
      </c>
      <c r="U98" t="s">
        <v>16</v>
      </c>
      <c r="V98" t="s">
        <v>318</v>
      </c>
      <c r="X98" t="s">
        <v>326</v>
      </c>
      <c r="Y98" s="23">
        <f t="shared" si="8"/>
        <v>3096</v>
      </c>
      <c r="Z98" s="23" t="str">
        <f t="shared" si="9"/>
        <v>`     BS Environmental planning</v>
      </c>
    </row>
    <row r="99" spans="1:26" x14ac:dyDescent="0.25">
      <c r="A99" s="6">
        <v>3101</v>
      </c>
      <c r="B99" s="7" t="s">
        <v>124</v>
      </c>
      <c r="C99" t="s">
        <v>16</v>
      </c>
      <c r="D99" t="s">
        <v>318</v>
      </c>
      <c r="F99" t="s">
        <v>326</v>
      </c>
      <c r="G99">
        <f t="shared" si="5"/>
        <v>3101</v>
      </c>
      <c r="H99" t="str">
        <f t="shared" si="6"/>
        <v>`     BS Basic Human Studies</v>
      </c>
      <c r="I99" t="s">
        <v>522</v>
      </c>
      <c r="J99" t="str">
        <f t="shared" si="7"/>
        <v>&lt;G1P&gt;`     BS Basic Human Studies</v>
      </c>
      <c r="S99" s="19">
        <v>3101</v>
      </c>
      <c r="T99" s="11" t="s">
        <v>124</v>
      </c>
      <c r="U99" t="s">
        <v>16</v>
      </c>
      <c r="V99" t="s">
        <v>318</v>
      </c>
      <c r="X99" t="s">
        <v>326</v>
      </c>
      <c r="Y99" s="23">
        <f t="shared" si="8"/>
        <v>3101</v>
      </c>
      <c r="Z99" s="23" t="str">
        <f t="shared" si="9"/>
        <v>`     BS Basic Human Studies</v>
      </c>
    </row>
    <row r="100" spans="1:26" x14ac:dyDescent="0.25">
      <c r="A100" s="6">
        <v>3105</v>
      </c>
      <c r="B100" s="7" t="s">
        <v>125</v>
      </c>
      <c r="C100" t="s">
        <v>16</v>
      </c>
      <c r="D100" t="s">
        <v>318</v>
      </c>
      <c r="F100" t="s">
        <v>326</v>
      </c>
      <c r="G100">
        <f t="shared" si="5"/>
        <v>3105</v>
      </c>
      <c r="H100" t="str">
        <f t="shared" si="6"/>
        <v>`     College of hospitality education</v>
      </c>
      <c r="I100" t="s">
        <v>522</v>
      </c>
      <c r="J100" t="str">
        <f t="shared" si="7"/>
        <v>&lt;G1P&gt;`     College of hospitality education</v>
      </c>
      <c r="S100" s="19">
        <v>3105</v>
      </c>
      <c r="T100" s="11" t="s">
        <v>125</v>
      </c>
      <c r="U100" t="s">
        <v>16</v>
      </c>
      <c r="V100" t="s">
        <v>318</v>
      </c>
      <c r="X100" t="s">
        <v>326</v>
      </c>
      <c r="Y100" s="23">
        <f t="shared" si="8"/>
        <v>3105</v>
      </c>
      <c r="Z100" s="23" t="str">
        <f t="shared" si="9"/>
        <v>`     College of hospitality education</v>
      </c>
    </row>
    <row r="101" spans="1:26" x14ac:dyDescent="0.25">
      <c r="A101" s="6">
        <v>3107</v>
      </c>
      <c r="B101" s="7" t="s">
        <v>126</v>
      </c>
      <c r="C101" t="s">
        <v>16</v>
      </c>
      <c r="D101" t="s">
        <v>318</v>
      </c>
      <c r="F101" t="s">
        <v>326</v>
      </c>
      <c r="G101">
        <f t="shared" si="5"/>
        <v>3107</v>
      </c>
      <c r="H101" t="str">
        <f t="shared" si="6"/>
        <v>`     BS  Game development</v>
      </c>
      <c r="I101" t="s">
        <v>522</v>
      </c>
      <c r="J101" t="str">
        <f t="shared" si="7"/>
        <v>&lt;G1P&gt;`     BS  Game development</v>
      </c>
      <c r="S101" s="19">
        <v>3107</v>
      </c>
      <c r="T101" s="11" t="s">
        <v>126</v>
      </c>
      <c r="U101" t="s">
        <v>16</v>
      </c>
      <c r="V101" t="s">
        <v>318</v>
      </c>
      <c r="X101" t="s">
        <v>326</v>
      </c>
      <c r="Y101" s="23">
        <f t="shared" si="8"/>
        <v>3107</v>
      </c>
      <c r="Z101" s="23" t="str">
        <f t="shared" si="9"/>
        <v>`     BS  Game development</v>
      </c>
    </row>
    <row r="102" spans="1:26" x14ac:dyDescent="0.25">
      <c r="A102" s="6">
        <v>3114</v>
      </c>
      <c r="B102" s="7" t="s">
        <v>342</v>
      </c>
      <c r="C102" t="s">
        <v>16</v>
      </c>
      <c r="D102" t="s">
        <v>318</v>
      </c>
      <c r="F102" t="s">
        <v>326</v>
      </c>
      <c r="G102">
        <f t="shared" si="5"/>
        <v>3114</v>
      </c>
      <c r="H102" t="str">
        <f t="shared" si="6"/>
        <v>`     BS Physical Theory</v>
      </c>
      <c r="I102" t="s">
        <v>522</v>
      </c>
      <c r="J102" t="str">
        <f t="shared" si="7"/>
        <v>&lt;G1P&gt;`     BS Physical Theory</v>
      </c>
      <c r="S102" s="19">
        <v>3114</v>
      </c>
      <c r="T102" s="11" t="s">
        <v>342</v>
      </c>
      <c r="U102" t="s">
        <v>16</v>
      </c>
      <c r="V102" t="s">
        <v>318</v>
      </c>
      <c r="X102" t="s">
        <v>326</v>
      </c>
      <c r="Y102" s="23">
        <f t="shared" si="8"/>
        <v>3114</v>
      </c>
      <c r="Z102" s="23" t="str">
        <f t="shared" si="9"/>
        <v>`     BS Physical Theory</v>
      </c>
    </row>
    <row r="103" spans="1:26" x14ac:dyDescent="0.25">
      <c r="A103" s="6">
        <v>3120</v>
      </c>
      <c r="B103" s="7" t="s">
        <v>343</v>
      </c>
      <c r="C103" t="s">
        <v>16</v>
      </c>
      <c r="D103" t="s">
        <v>318</v>
      </c>
      <c r="F103" t="s">
        <v>326</v>
      </c>
      <c r="G103">
        <f t="shared" si="5"/>
        <v>3120</v>
      </c>
      <c r="H103" t="str">
        <f t="shared" si="6"/>
        <v>`     Bachelor of Science in Fisheries</v>
      </c>
      <c r="I103" t="s">
        <v>522</v>
      </c>
      <c r="J103" t="str">
        <f t="shared" si="7"/>
        <v>&lt;G1P&gt;`     Bachelor of Science in Fisheries</v>
      </c>
      <c r="S103" s="19">
        <v>3120</v>
      </c>
      <c r="T103" s="11" t="s">
        <v>343</v>
      </c>
      <c r="U103" t="s">
        <v>16</v>
      </c>
      <c r="V103" t="s">
        <v>318</v>
      </c>
      <c r="X103" t="s">
        <v>326</v>
      </c>
      <c r="Y103" s="23">
        <f t="shared" si="8"/>
        <v>3120</v>
      </c>
      <c r="Z103" s="23" t="str">
        <f t="shared" si="9"/>
        <v>`     Bachelor of Science in Fisheries</v>
      </c>
    </row>
    <row r="104" spans="1:26" x14ac:dyDescent="0.25">
      <c r="A104" s="6">
        <v>3123</v>
      </c>
      <c r="B104" s="7" t="s">
        <v>358</v>
      </c>
      <c r="C104" t="s">
        <v>16</v>
      </c>
      <c r="D104" t="s">
        <v>318</v>
      </c>
      <c r="F104" t="s">
        <v>326</v>
      </c>
      <c r="G104">
        <f t="shared" si="5"/>
        <v>3123</v>
      </c>
      <c r="H104" t="str">
        <f t="shared" si="6"/>
        <v>`     BS Information System</v>
      </c>
      <c r="I104" t="s">
        <v>522</v>
      </c>
      <c r="J104" t="str">
        <f t="shared" si="7"/>
        <v>&lt;G1P&gt;`     BS Information System</v>
      </c>
      <c r="S104" s="20" t="s">
        <v>355</v>
      </c>
      <c r="T104" s="13" t="s">
        <v>127</v>
      </c>
      <c r="U104" t="s">
        <v>5</v>
      </c>
      <c r="V104" t="s">
        <v>318</v>
      </c>
      <c r="W104" t="s">
        <v>322</v>
      </c>
      <c r="X104" t="s">
        <v>326</v>
      </c>
      <c r="Y104" s="23" t="str">
        <f t="shared" si="8"/>
        <v>1073+2005+1208+3047+1133+3043+1137+1201+3050+3026+3098+1016+3059+1017+1052+1018+1121+1040+1053+1050+1112+1078+1057+1080+1091+1101+1106+1122+1134+1147+1149+1131+1150+3074+1167+1019+1168+1172+1109+3062+1173+1178+1188+1216+3037+3046+3088+3113+3119+3121+1020+1021+1035+1114+1038+1076+3063+1046+1047+1117+1189+3064+1090+1113+3013+1092+1093+1105+3067+1100+1139+1148+3078+1152+1184+1198+1115+1205+1206+3035+1095+3001+3031+3036+3077+3083+3090+3093</v>
      </c>
      <c r="Z104" s="23" t="str">
        <f t="shared" si="9"/>
        <v>`     EDUCATION (SUBNET)&lt;Q&gt;</v>
      </c>
    </row>
    <row r="105" spans="1:26" x14ac:dyDescent="0.25">
      <c r="A105" s="4" t="s">
        <v>363</v>
      </c>
      <c r="B105" s="8" t="s">
        <v>127</v>
      </c>
      <c r="C105" t="s">
        <v>5</v>
      </c>
      <c r="D105" t="s">
        <v>318</v>
      </c>
      <c r="E105" t="s">
        <v>322</v>
      </c>
      <c r="F105" t="s">
        <v>326</v>
      </c>
      <c r="G105" t="str">
        <f t="shared" si="5"/>
        <v>1073+2005+1208+3047+1133+3043+1137+1201+3050+3026+3098+3124+1016+3059+1017+1052+1018+1121+1040+1053+1050+1112+1078+1057+1080+1091+1101+1106+1122+1134+1147+1149+1131+1150+3074+1167+1019+1168+1172+1109+3062+1173+1178+1188+1216+3037+3046+3088+3113+3119+3121+3122+1020+1021+1035+1114+1038+1076+3063+1046+1047+1117+1189+3064+1090+1113+3013+1092+1093+1105+3067+1100+1139+1148+3078+1152+1184+1198+1115+1205+1206+3035+1095+3001+3031+3036+3077+3083+3090+3093</v>
      </c>
      <c r="H105" t="str">
        <f t="shared" si="6"/>
        <v>`     EDUCATION (SUBNET)&lt;Q&gt;</v>
      </c>
      <c r="I105" t="s">
        <v>522</v>
      </c>
      <c r="J105" t="str">
        <f t="shared" si="7"/>
        <v>&lt;G1P&gt;`     EDUCATION (SUBNET)&lt;Q&gt;</v>
      </c>
      <c r="S105" s="19">
        <v>1073</v>
      </c>
      <c r="T105" s="11" t="s">
        <v>128</v>
      </c>
      <c r="U105" t="s">
        <v>16</v>
      </c>
      <c r="V105" t="s">
        <v>320</v>
      </c>
      <c r="X105" t="s">
        <v>328</v>
      </c>
      <c r="Y105" s="23">
        <f t="shared" si="8"/>
        <v>1073</v>
      </c>
      <c r="Z105" s="23" t="str">
        <f t="shared" si="9"/>
        <v>`               Bachelor of Physical Education</v>
      </c>
    </row>
    <row r="106" spans="1:26" x14ac:dyDescent="0.25">
      <c r="A106" s="6">
        <v>1073</v>
      </c>
      <c r="B106" s="7" t="s">
        <v>128</v>
      </c>
      <c r="C106" t="s">
        <v>16</v>
      </c>
      <c r="D106" t="s">
        <v>319</v>
      </c>
      <c r="F106" t="s">
        <v>328</v>
      </c>
      <c r="G106">
        <f t="shared" si="5"/>
        <v>1073</v>
      </c>
      <c r="H106" t="str">
        <f t="shared" si="6"/>
        <v>`          Bachelor of Physical Education</v>
      </c>
      <c r="I106" t="s">
        <v>528</v>
      </c>
      <c r="J106" t="str">
        <f t="shared" si="7"/>
        <v>&lt;G3B&gt;&lt;G2P&gt;&lt;G1P&gt;`          Bachelor of Physical Education</v>
      </c>
      <c r="S106" s="19" t="s">
        <v>129</v>
      </c>
      <c r="T106" s="11" t="s">
        <v>130</v>
      </c>
      <c r="U106" t="s">
        <v>16</v>
      </c>
      <c r="V106" t="s">
        <v>320</v>
      </c>
      <c r="X106" t="s">
        <v>328</v>
      </c>
      <c r="Y106" s="23" t="str">
        <f t="shared" si="8"/>
        <v>2005+1208+3047</v>
      </c>
      <c r="Z106" s="23" t="str">
        <f t="shared" si="9"/>
        <v>`               Education</v>
      </c>
    </row>
    <row r="107" spans="1:26" x14ac:dyDescent="0.25">
      <c r="A107" s="6" t="s">
        <v>129</v>
      </c>
      <c r="B107" s="7" t="s">
        <v>130</v>
      </c>
      <c r="C107" t="s">
        <v>16</v>
      </c>
      <c r="D107" t="s">
        <v>319</v>
      </c>
      <c r="F107" t="s">
        <v>328</v>
      </c>
      <c r="G107" t="str">
        <f t="shared" si="5"/>
        <v>2005+1208+3047</v>
      </c>
      <c r="H107" t="str">
        <f t="shared" si="6"/>
        <v>`          Education</v>
      </c>
      <c r="I107" t="s">
        <v>527</v>
      </c>
      <c r="J107" t="str">
        <f t="shared" si="7"/>
        <v>&lt;G2P&gt;&lt;G1P&gt;`          Education</v>
      </c>
      <c r="S107" s="19" t="s">
        <v>131</v>
      </c>
      <c r="T107" s="11" t="s">
        <v>132</v>
      </c>
      <c r="U107" t="s">
        <v>16</v>
      </c>
      <c r="V107" t="s">
        <v>320</v>
      </c>
      <c r="X107" t="s">
        <v>328</v>
      </c>
      <c r="Y107" s="23" t="str">
        <f t="shared" si="8"/>
        <v>1133+3043</v>
      </c>
      <c r="Z107" s="23" t="str">
        <f t="shared" si="9"/>
        <v>`               Bachelor in Elementary Education</v>
      </c>
    </row>
    <row r="108" spans="1:26" x14ac:dyDescent="0.25">
      <c r="A108" s="6" t="s">
        <v>131</v>
      </c>
      <c r="B108" s="7" t="s">
        <v>132</v>
      </c>
      <c r="C108" t="s">
        <v>16</v>
      </c>
      <c r="D108" t="s">
        <v>319</v>
      </c>
      <c r="F108" t="s">
        <v>328</v>
      </c>
      <c r="G108" t="str">
        <f t="shared" si="5"/>
        <v>1133+3043</v>
      </c>
      <c r="H108" t="str">
        <f t="shared" si="6"/>
        <v>`          Bachelor in Elementary Education</v>
      </c>
      <c r="I108" t="s">
        <v>527</v>
      </c>
      <c r="J108" t="str">
        <f t="shared" si="7"/>
        <v>&lt;G2P&gt;&lt;G1P&gt;`          Bachelor in Elementary Education</v>
      </c>
      <c r="S108" s="19" t="s">
        <v>133</v>
      </c>
      <c r="T108" s="11" t="s">
        <v>134</v>
      </c>
      <c r="U108" t="s">
        <v>16</v>
      </c>
      <c r="V108" t="s">
        <v>320</v>
      </c>
      <c r="X108" t="s">
        <v>328</v>
      </c>
      <c r="Y108" s="23" t="str">
        <f t="shared" si="8"/>
        <v>1137+1201+3050</v>
      </c>
      <c r="Z108" s="23" t="str">
        <f t="shared" si="9"/>
        <v>`               Bachelor in Secondary Education</v>
      </c>
    </row>
    <row r="109" spans="1:26" x14ac:dyDescent="0.25">
      <c r="A109" s="6" t="s">
        <v>133</v>
      </c>
      <c r="B109" s="7" t="s">
        <v>134</v>
      </c>
      <c r="C109" t="s">
        <v>16</v>
      </c>
      <c r="D109" t="s">
        <v>319</v>
      </c>
      <c r="F109" t="s">
        <v>328</v>
      </c>
      <c r="G109" t="str">
        <f t="shared" si="5"/>
        <v>1137+1201+3050</v>
      </c>
      <c r="H109" t="str">
        <f t="shared" si="6"/>
        <v>`          Bachelor in Secondary Education</v>
      </c>
      <c r="I109" t="s">
        <v>527</v>
      </c>
      <c r="J109" t="str">
        <f t="shared" si="7"/>
        <v>&lt;G2P&gt;&lt;G1P&gt;`          Bachelor in Secondary Education</v>
      </c>
      <c r="S109" s="19">
        <v>3026</v>
      </c>
      <c r="T109" s="11" t="s">
        <v>135</v>
      </c>
      <c r="U109" t="s">
        <v>16</v>
      </c>
      <c r="V109" t="s">
        <v>320</v>
      </c>
      <c r="X109" t="s">
        <v>328</v>
      </c>
      <c r="Y109" s="23">
        <f t="shared" si="8"/>
        <v>3026</v>
      </c>
      <c r="Z109" s="23" t="str">
        <f t="shared" si="9"/>
        <v>`               Bachelor of Early Childhood Education</v>
      </c>
    </row>
    <row r="110" spans="1:26" x14ac:dyDescent="0.25">
      <c r="A110" s="6">
        <v>3026</v>
      </c>
      <c r="B110" s="7" t="s">
        <v>135</v>
      </c>
      <c r="C110" t="s">
        <v>16</v>
      </c>
      <c r="D110" t="s">
        <v>319</v>
      </c>
      <c r="F110" t="s">
        <v>328</v>
      </c>
      <c r="G110">
        <f t="shared" si="5"/>
        <v>3026</v>
      </c>
      <c r="H110" t="str">
        <f t="shared" si="6"/>
        <v>`          Bachelor of Early Childhood Education</v>
      </c>
      <c r="I110" t="s">
        <v>527</v>
      </c>
      <c r="J110" t="str">
        <f t="shared" si="7"/>
        <v>&lt;G2P&gt;&lt;G1P&gt;`          Bachelor of Early Childhood Education</v>
      </c>
      <c r="S110" s="19">
        <v>3098</v>
      </c>
      <c r="T110" s="11" t="s">
        <v>136</v>
      </c>
      <c r="U110" t="s">
        <v>16</v>
      </c>
      <c r="V110" t="s">
        <v>320</v>
      </c>
      <c r="X110" t="s">
        <v>328</v>
      </c>
      <c r="Y110" s="23">
        <f t="shared" si="8"/>
        <v>3098</v>
      </c>
      <c r="Z110" s="23" t="str">
        <f t="shared" si="9"/>
        <v>`               Bachelor of Special Needs Eduction</v>
      </c>
    </row>
    <row r="111" spans="1:26" x14ac:dyDescent="0.25">
      <c r="A111" s="6">
        <v>3098</v>
      </c>
      <c r="B111" s="7" t="s">
        <v>136</v>
      </c>
      <c r="C111" t="s">
        <v>16</v>
      </c>
      <c r="D111" t="s">
        <v>319</v>
      </c>
      <c r="F111" t="s">
        <v>328</v>
      </c>
      <c r="G111">
        <f t="shared" si="5"/>
        <v>3098</v>
      </c>
      <c r="H111" t="str">
        <f t="shared" si="6"/>
        <v>`          Bachelor of Special Needs Eduction</v>
      </c>
      <c r="I111" t="s">
        <v>527</v>
      </c>
      <c r="J111" t="str">
        <f t="shared" si="7"/>
        <v>&lt;G2P&gt;&lt;G1P&gt;`          Bachelor of Special Needs Eduction</v>
      </c>
      <c r="S111" s="20" t="s">
        <v>356</v>
      </c>
      <c r="T111" s="14" t="s">
        <v>137</v>
      </c>
      <c r="U111" t="s">
        <v>306</v>
      </c>
      <c r="V111" t="s">
        <v>319</v>
      </c>
      <c r="W111" t="s">
        <v>322</v>
      </c>
      <c r="X111" t="s">
        <v>328</v>
      </c>
      <c r="Y111" s="23" t="str">
        <f t="shared" si="8"/>
        <v>1016+3059+1017+1052+1018+1121+1040+1053+1050+1112+1078+1057+1080+1091+1101+1106+1122+1134+1147+1149+1131+1150+3074+1167+1019+1168+1172+1109+3062+1173+1178+1188+1216+3037+3046+3088+3113+3119+3121</v>
      </c>
      <c r="Z111" s="23" t="str">
        <f t="shared" si="9"/>
        <v>`          ENGINEERING COURSES (SUB-SUBNET)&lt;Q&gt;</v>
      </c>
    </row>
    <row r="112" spans="1:26" x14ac:dyDescent="0.25">
      <c r="A112" s="6">
        <v>3124</v>
      </c>
      <c r="B112" s="7" t="s">
        <v>359</v>
      </c>
      <c r="C112" t="s">
        <v>16</v>
      </c>
      <c r="D112" t="s">
        <v>319</v>
      </c>
      <c r="F112" t="s">
        <v>328</v>
      </c>
      <c r="G112">
        <f t="shared" si="5"/>
        <v>3124</v>
      </c>
      <c r="H112" t="str">
        <f t="shared" si="6"/>
        <v>`          Batchelor of Technical-Vocational Teacher Education</v>
      </c>
      <c r="I112" t="s">
        <v>527</v>
      </c>
      <c r="J112" t="str">
        <f t="shared" si="7"/>
        <v>&lt;G2P&gt;&lt;G1P&gt;`          Batchelor of Technical-Vocational Teacher Education</v>
      </c>
      <c r="S112" s="20" t="s">
        <v>138</v>
      </c>
      <c r="T112" s="11" t="s">
        <v>139</v>
      </c>
      <c r="U112" t="s">
        <v>16</v>
      </c>
      <c r="V112" t="s">
        <v>320</v>
      </c>
      <c r="X112" t="s">
        <v>329</v>
      </c>
      <c r="Y112" s="23" t="str">
        <f t="shared" si="8"/>
        <v>1016+3059</v>
      </c>
      <c r="Z112" s="23" t="str">
        <f t="shared" si="9"/>
        <v>`               BS Chemical Engineering</v>
      </c>
    </row>
    <row r="113" spans="1:26" x14ac:dyDescent="0.25">
      <c r="A113" s="4" t="s">
        <v>364</v>
      </c>
      <c r="B113" s="17" t="s">
        <v>137</v>
      </c>
      <c r="C113" t="s">
        <v>306</v>
      </c>
      <c r="D113" t="s">
        <v>319</v>
      </c>
      <c r="E113" t="s">
        <v>322</v>
      </c>
      <c r="F113" t="s">
        <v>328</v>
      </c>
      <c r="G113" t="str">
        <f t="shared" si="5"/>
        <v>1016+3059+1017+1052+1018+1121+1040+1053+1050+1112+1078+1057+1080+1091+1101+1106+1122+1134+1147+1149+1131+1150+3074+1167+1019+1168+1172+1109+3062+1173+1178+1188+1216+3037+3046+3088+3113+3119+3121+3122</v>
      </c>
      <c r="H113" t="str">
        <f t="shared" si="6"/>
        <v>`          ENGINEERING COURSES (SUB-SUBNET)&lt;Q&gt;</v>
      </c>
      <c r="I113" t="s">
        <v>527</v>
      </c>
      <c r="J113" t="str">
        <f t="shared" si="7"/>
        <v>&lt;G2P&gt;&lt;G1P&gt;`          ENGINEERING COURSES (SUB-SUBNET)&lt;Q&gt;</v>
      </c>
      <c r="S113" s="20" t="s">
        <v>140</v>
      </c>
      <c r="T113" s="11" t="s">
        <v>141</v>
      </c>
      <c r="U113" t="s">
        <v>16</v>
      </c>
      <c r="V113" t="s">
        <v>320</v>
      </c>
      <c r="X113" t="s">
        <v>329</v>
      </c>
      <c r="Y113" s="23" t="str">
        <f t="shared" si="8"/>
        <v>1017+1052</v>
      </c>
      <c r="Z113" s="23" t="str">
        <f t="shared" si="9"/>
        <v>`               BS Civil Engineering</v>
      </c>
    </row>
    <row r="114" spans="1:26" x14ac:dyDescent="0.25">
      <c r="A114" s="4" t="s">
        <v>138</v>
      </c>
      <c r="B114" s="7" t="s">
        <v>139</v>
      </c>
      <c r="C114" t="s">
        <v>16</v>
      </c>
      <c r="D114" t="s">
        <v>320</v>
      </c>
      <c r="F114" t="s">
        <v>329</v>
      </c>
      <c r="G114" t="str">
        <f t="shared" si="5"/>
        <v>1016+3059</v>
      </c>
      <c r="H114" t="str">
        <f t="shared" si="6"/>
        <v>`               BS Chemical Engineering</v>
      </c>
      <c r="I114" t="s">
        <v>530</v>
      </c>
      <c r="J114" t="str">
        <f t="shared" si="7"/>
        <v>&lt;G4B&gt;&lt;G3P&gt;&lt;G2P&gt;&lt;G1P&gt;`               BS Chemical Engineering</v>
      </c>
      <c r="S114" s="20" t="s">
        <v>142</v>
      </c>
      <c r="T114" s="11" t="s">
        <v>143</v>
      </c>
      <c r="U114" t="s">
        <v>16</v>
      </c>
      <c r="V114" t="s">
        <v>320</v>
      </c>
      <c r="X114" t="s">
        <v>329</v>
      </c>
      <c r="Y114" s="23" t="str">
        <f t="shared" si="8"/>
        <v>1018+1121</v>
      </c>
      <c r="Z114" s="23" t="str">
        <f t="shared" si="9"/>
        <v>`               Engineering</v>
      </c>
    </row>
    <row r="115" spans="1:26" x14ac:dyDescent="0.25">
      <c r="A115" s="4" t="s">
        <v>140</v>
      </c>
      <c r="B115" s="7" t="s">
        <v>141</v>
      </c>
      <c r="C115" t="s">
        <v>16</v>
      </c>
      <c r="D115" t="s">
        <v>320</v>
      </c>
      <c r="F115" t="s">
        <v>329</v>
      </c>
      <c r="G115" t="str">
        <f t="shared" si="5"/>
        <v>1017+1052</v>
      </c>
      <c r="H115" t="str">
        <f t="shared" si="6"/>
        <v>`               BS Civil Engineering</v>
      </c>
      <c r="I115" t="s">
        <v>532</v>
      </c>
      <c r="J115" t="str">
        <f t="shared" si="7"/>
        <v>&lt;G3P&gt;&lt;G2P&gt;&lt;G1P&gt;`               BS Civil Engineering</v>
      </c>
      <c r="S115" s="19" t="s">
        <v>144</v>
      </c>
      <c r="T115" s="11" t="s">
        <v>145</v>
      </c>
      <c r="U115" t="s">
        <v>16</v>
      </c>
      <c r="V115" t="s">
        <v>320</v>
      </c>
      <c r="X115" t="s">
        <v>329</v>
      </c>
      <c r="Y115" s="23" t="str">
        <f t="shared" si="8"/>
        <v>1040+1053</v>
      </c>
      <c r="Z115" s="23" t="str">
        <f t="shared" si="9"/>
        <v>`               BS Computer Engineering</v>
      </c>
    </row>
    <row r="116" spans="1:26" x14ac:dyDescent="0.25">
      <c r="A116" s="4" t="s">
        <v>142</v>
      </c>
      <c r="B116" s="7" t="s">
        <v>143</v>
      </c>
      <c r="C116" t="s">
        <v>16</v>
      </c>
      <c r="D116" t="s">
        <v>320</v>
      </c>
      <c r="F116" t="s">
        <v>329</v>
      </c>
      <c r="G116" t="str">
        <f t="shared" si="5"/>
        <v>1018+1121</v>
      </c>
      <c r="H116" t="str">
        <f t="shared" si="6"/>
        <v>`               Engineering</v>
      </c>
      <c r="I116" t="s">
        <v>532</v>
      </c>
      <c r="J116" t="str">
        <f t="shared" si="7"/>
        <v>&lt;G3P&gt;&lt;G2P&gt;&lt;G1P&gt;`               Engineering</v>
      </c>
      <c r="S116" s="19" t="s">
        <v>146</v>
      </c>
      <c r="T116" s="11" t="s">
        <v>147</v>
      </c>
      <c r="U116" t="s">
        <v>16</v>
      </c>
      <c r="V116" t="s">
        <v>320</v>
      </c>
      <c r="X116" t="s">
        <v>329</v>
      </c>
      <c r="Y116" s="23" t="str">
        <f t="shared" si="8"/>
        <v>1050+1112</v>
      </c>
      <c r="Z116" s="23" t="str">
        <f t="shared" si="9"/>
        <v>`               BS Mechanical Engineering</v>
      </c>
    </row>
    <row r="117" spans="1:26" x14ac:dyDescent="0.25">
      <c r="A117" s="6" t="s">
        <v>144</v>
      </c>
      <c r="B117" s="7" t="s">
        <v>145</v>
      </c>
      <c r="C117" t="s">
        <v>16</v>
      </c>
      <c r="D117" t="s">
        <v>320</v>
      </c>
      <c r="F117" t="s">
        <v>329</v>
      </c>
      <c r="G117" t="str">
        <f t="shared" si="5"/>
        <v>1040+1053</v>
      </c>
      <c r="H117" t="str">
        <f t="shared" si="6"/>
        <v>`               BS Computer Engineering</v>
      </c>
      <c r="I117" t="s">
        <v>532</v>
      </c>
      <c r="J117" t="str">
        <f t="shared" si="7"/>
        <v>&lt;G3P&gt;&lt;G2P&gt;&lt;G1P&gt;`               BS Computer Engineering</v>
      </c>
      <c r="S117" s="19" t="s">
        <v>148</v>
      </c>
      <c r="T117" s="11" t="s">
        <v>149</v>
      </c>
      <c r="U117" t="s">
        <v>16</v>
      </c>
      <c r="V117" t="s">
        <v>320</v>
      </c>
      <c r="X117" t="s">
        <v>329</v>
      </c>
      <c r="Y117" s="23" t="str">
        <f t="shared" si="8"/>
        <v>1078+1057</v>
      </c>
      <c r="Z117" s="23" t="str">
        <f t="shared" si="9"/>
        <v>`               BS Environmental and Sanitary Engineering</v>
      </c>
    </row>
    <row r="118" spans="1:26" x14ac:dyDescent="0.25">
      <c r="A118" s="6" t="s">
        <v>146</v>
      </c>
      <c r="B118" s="7" t="s">
        <v>147</v>
      </c>
      <c r="C118" t="s">
        <v>16</v>
      </c>
      <c r="D118" t="s">
        <v>320</v>
      </c>
      <c r="F118" t="s">
        <v>329</v>
      </c>
      <c r="G118" t="str">
        <f t="shared" si="5"/>
        <v>1050+1112</v>
      </c>
      <c r="H118" t="str">
        <f t="shared" si="6"/>
        <v>`               BS Mechanical Engineering</v>
      </c>
      <c r="I118" t="s">
        <v>532</v>
      </c>
      <c r="J118" t="str">
        <f t="shared" si="7"/>
        <v>&lt;G3P&gt;&lt;G2P&gt;&lt;G1P&gt;`               BS Mechanical Engineering</v>
      </c>
      <c r="S118" s="19">
        <v>1080</v>
      </c>
      <c r="T118" s="11" t="s">
        <v>150</v>
      </c>
      <c r="U118" t="s">
        <v>16</v>
      </c>
      <c r="V118" t="s">
        <v>320</v>
      </c>
      <c r="X118" t="s">
        <v>329</v>
      </c>
      <c r="Y118" s="23">
        <f t="shared" si="8"/>
        <v>1080</v>
      </c>
      <c r="Z118" s="23" t="str">
        <f t="shared" si="9"/>
        <v>`               BS Electrical Engineering</v>
      </c>
    </row>
    <row r="119" spans="1:26" x14ac:dyDescent="0.25">
      <c r="A119" s="6" t="s">
        <v>148</v>
      </c>
      <c r="B119" s="7" t="s">
        <v>149</v>
      </c>
      <c r="C119" t="s">
        <v>16</v>
      </c>
      <c r="D119" t="s">
        <v>320</v>
      </c>
      <c r="F119" t="s">
        <v>329</v>
      </c>
      <c r="G119" t="str">
        <f t="shared" si="5"/>
        <v>1078+1057</v>
      </c>
      <c r="H119" t="str">
        <f t="shared" si="6"/>
        <v>`               BS Environmental and Sanitary Engineering</v>
      </c>
      <c r="I119" t="s">
        <v>532</v>
      </c>
      <c r="J119" t="str">
        <f t="shared" si="7"/>
        <v>&lt;G3P&gt;&lt;G2P&gt;&lt;G1P&gt;`               BS Environmental and Sanitary Engineering</v>
      </c>
      <c r="S119" s="19">
        <v>1091</v>
      </c>
      <c r="T119" s="11" t="s">
        <v>151</v>
      </c>
      <c r="U119" t="s">
        <v>16</v>
      </c>
      <c r="V119" t="s">
        <v>320</v>
      </c>
      <c r="X119" t="s">
        <v>329</v>
      </c>
      <c r="Y119" s="23">
        <f t="shared" si="8"/>
        <v>1091</v>
      </c>
      <c r="Z119" s="23" t="str">
        <f t="shared" si="9"/>
        <v>`               BS Petroleum Engineering</v>
      </c>
    </row>
    <row r="120" spans="1:26" x14ac:dyDescent="0.25">
      <c r="A120" s="6">
        <v>1080</v>
      </c>
      <c r="B120" s="7" t="s">
        <v>150</v>
      </c>
      <c r="C120" t="s">
        <v>16</v>
      </c>
      <c r="D120" t="s">
        <v>320</v>
      </c>
      <c r="F120" t="s">
        <v>329</v>
      </c>
      <c r="G120">
        <f t="shared" si="5"/>
        <v>1080</v>
      </c>
      <c r="H120" t="str">
        <f t="shared" si="6"/>
        <v>`               BS Electrical Engineering</v>
      </c>
      <c r="I120" t="s">
        <v>532</v>
      </c>
      <c r="J120" t="str">
        <f t="shared" si="7"/>
        <v>&lt;G3P&gt;&lt;G2P&gt;&lt;G1P&gt;`               BS Electrical Engineering</v>
      </c>
      <c r="S120" s="19">
        <v>1101</v>
      </c>
      <c r="T120" s="11" t="s">
        <v>152</v>
      </c>
      <c r="U120" t="s">
        <v>16</v>
      </c>
      <c r="V120" t="s">
        <v>320</v>
      </c>
      <c r="X120" t="s">
        <v>329</v>
      </c>
      <c r="Y120" s="23">
        <f t="shared" si="8"/>
        <v>1101</v>
      </c>
      <c r="Z120" s="23" t="str">
        <f t="shared" si="9"/>
        <v>`               BS Marine Transportation</v>
      </c>
    </row>
    <row r="121" spans="1:26" x14ac:dyDescent="0.25">
      <c r="A121" s="6">
        <v>1091</v>
      </c>
      <c r="B121" s="7" t="s">
        <v>151</v>
      </c>
      <c r="C121" t="s">
        <v>16</v>
      </c>
      <c r="D121" t="s">
        <v>320</v>
      </c>
      <c r="F121" t="s">
        <v>329</v>
      </c>
      <c r="G121">
        <f t="shared" si="5"/>
        <v>1091</v>
      </c>
      <c r="H121" t="str">
        <f t="shared" si="6"/>
        <v>`               BS Petroleum Engineering</v>
      </c>
      <c r="I121" t="s">
        <v>532</v>
      </c>
      <c r="J121" t="str">
        <f t="shared" si="7"/>
        <v>&lt;G3P&gt;&lt;G2P&gt;&lt;G1P&gt;`               BS Petroleum Engineering</v>
      </c>
      <c r="S121" s="19">
        <v>1106</v>
      </c>
      <c r="T121" s="11" t="s">
        <v>153</v>
      </c>
      <c r="U121" t="s">
        <v>16</v>
      </c>
      <c r="V121" t="s">
        <v>320</v>
      </c>
      <c r="X121" t="s">
        <v>329</v>
      </c>
      <c r="Y121" s="23">
        <f t="shared" si="8"/>
        <v>1106</v>
      </c>
      <c r="Z121" s="23" t="str">
        <f t="shared" si="9"/>
        <v>`               Electrical Engineering</v>
      </c>
    </row>
    <row r="122" spans="1:26" x14ac:dyDescent="0.25">
      <c r="A122" s="6">
        <v>1101</v>
      </c>
      <c r="B122" s="7" t="s">
        <v>152</v>
      </c>
      <c r="C122" t="s">
        <v>16</v>
      </c>
      <c r="D122" t="s">
        <v>320</v>
      </c>
      <c r="F122" t="s">
        <v>329</v>
      </c>
      <c r="G122">
        <f t="shared" si="5"/>
        <v>1101</v>
      </c>
      <c r="H122" t="str">
        <f t="shared" si="6"/>
        <v>`               BS Marine Transportation</v>
      </c>
      <c r="I122" t="s">
        <v>532</v>
      </c>
      <c r="J122" t="str">
        <f t="shared" si="7"/>
        <v>&lt;G3P&gt;&lt;G2P&gt;&lt;G1P&gt;`               BS Marine Transportation</v>
      </c>
      <c r="S122" s="19">
        <v>1122</v>
      </c>
      <c r="T122" s="11" t="s">
        <v>154</v>
      </c>
      <c r="U122" t="s">
        <v>16</v>
      </c>
      <c r="V122" t="s">
        <v>320</v>
      </c>
      <c r="X122" t="s">
        <v>329</v>
      </c>
      <c r="Y122" s="23">
        <f t="shared" si="8"/>
        <v>1122</v>
      </c>
      <c r="Z122" s="23" t="str">
        <f t="shared" si="9"/>
        <v>`               BS Engineering Major in Transportation</v>
      </c>
    </row>
    <row r="123" spans="1:26" x14ac:dyDescent="0.25">
      <c r="A123" s="6">
        <v>1106</v>
      </c>
      <c r="B123" s="7" t="s">
        <v>153</v>
      </c>
      <c r="C123" t="s">
        <v>16</v>
      </c>
      <c r="D123" t="s">
        <v>320</v>
      </c>
      <c r="F123" t="s">
        <v>329</v>
      </c>
      <c r="G123">
        <f t="shared" si="5"/>
        <v>1106</v>
      </c>
      <c r="H123" t="str">
        <f t="shared" si="6"/>
        <v>`               Electrical Engineering</v>
      </c>
      <c r="I123" t="s">
        <v>532</v>
      </c>
      <c r="J123" t="str">
        <f t="shared" si="7"/>
        <v>&lt;G3P&gt;&lt;G2P&gt;&lt;G1P&gt;`               Electrical Engineering</v>
      </c>
      <c r="S123" s="19">
        <v>1134</v>
      </c>
      <c r="T123" s="11" t="s">
        <v>155</v>
      </c>
      <c r="U123" t="s">
        <v>16</v>
      </c>
      <c r="V123" t="s">
        <v>320</v>
      </c>
      <c r="X123" t="s">
        <v>329</v>
      </c>
      <c r="Y123" s="23">
        <f t="shared" si="8"/>
        <v>1134</v>
      </c>
      <c r="Z123" s="23" t="str">
        <f t="shared" si="9"/>
        <v>`               Bachelor in Landscape Architecture</v>
      </c>
    </row>
    <row r="124" spans="1:26" x14ac:dyDescent="0.25">
      <c r="A124" s="6">
        <v>1122</v>
      </c>
      <c r="B124" s="7" t="s">
        <v>154</v>
      </c>
      <c r="C124" t="s">
        <v>16</v>
      </c>
      <c r="D124" t="s">
        <v>320</v>
      </c>
      <c r="F124" t="s">
        <v>329</v>
      </c>
      <c r="G124">
        <f t="shared" si="5"/>
        <v>1122</v>
      </c>
      <c r="H124" t="str">
        <f t="shared" si="6"/>
        <v>`               BS Engineering Major in Transportation</v>
      </c>
      <c r="I124" t="s">
        <v>532</v>
      </c>
      <c r="J124" t="str">
        <f t="shared" si="7"/>
        <v>&lt;G3P&gt;&lt;G2P&gt;&lt;G1P&gt;`               BS Engineering Major in Transportation</v>
      </c>
      <c r="S124" s="19">
        <v>1147</v>
      </c>
      <c r="T124" s="11" t="s">
        <v>156</v>
      </c>
      <c r="U124" t="s">
        <v>16</v>
      </c>
      <c r="V124" t="s">
        <v>320</v>
      </c>
      <c r="X124" t="s">
        <v>329</v>
      </c>
      <c r="Y124" s="23">
        <f t="shared" si="8"/>
        <v>1147</v>
      </c>
      <c r="Z124" s="23" t="str">
        <f t="shared" si="9"/>
        <v>`               Bachelor of Engineering Technology Major in Mechatronics</v>
      </c>
    </row>
    <row r="125" spans="1:26" x14ac:dyDescent="0.25">
      <c r="A125" s="6">
        <v>1134</v>
      </c>
      <c r="B125" s="7" t="s">
        <v>155</v>
      </c>
      <c r="C125" t="s">
        <v>16</v>
      </c>
      <c r="D125" t="s">
        <v>320</v>
      </c>
      <c r="F125" t="s">
        <v>329</v>
      </c>
      <c r="G125">
        <f t="shared" si="5"/>
        <v>1134</v>
      </c>
      <c r="H125" t="str">
        <f t="shared" si="6"/>
        <v>`               Bachelor in Landscape Architecture</v>
      </c>
      <c r="I125" t="s">
        <v>532</v>
      </c>
      <c r="J125" t="str">
        <f t="shared" si="7"/>
        <v>&lt;G3P&gt;&lt;G2P&gt;&lt;G1P&gt;`               Bachelor in Landscape Architecture</v>
      </c>
      <c r="S125" s="19" t="s">
        <v>157</v>
      </c>
      <c r="T125" s="11" t="s">
        <v>158</v>
      </c>
      <c r="U125" t="s">
        <v>16</v>
      </c>
      <c r="V125" t="s">
        <v>320</v>
      </c>
      <c r="X125" t="s">
        <v>329</v>
      </c>
      <c r="Y125" s="23" t="str">
        <f t="shared" si="8"/>
        <v>1149+1131</v>
      </c>
      <c r="Z125" s="23" t="str">
        <f t="shared" si="9"/>
        <v>`               BS Aeronautical Engineering</v>
      </c>
    </row>
    <row r="126" spans="1:26" x14ac:dyDescent="0.25">
      <c r="A126" s="6">
        <v>1147</v>
      </c>
      <c r="B126" s="7" t="s">
        <v>156</v>
      </c>
      <c r="C126" t="s">
        <v>16</v>
      </c>
      <c r="D126" t="s">
        <v>320</v>
      </c>
      <c r="F126" t="s">
        <v>329</v>
      </c>
      <c r="G126">
        <f t="shared" si="5"/>
        <v>1147</v>
      </c>
      <c r="H126" t="str">
        <f t="shared" si="6"/>
        <v>`               Bachelor of Engineering Technology Major in Mechatronics</v>
      </c>
      <c r="I126" t="s">
        <v>532</v>
      </c>
      <c r="J126" t="str">
        <f t="shared" si="7"/>
        <v>&lt;G3P&gt;&lt;G2P&gt;&lt;G1P&gt;`               Bachelor of Engineering Technology Major in Mechatronics</v>
      </c>
      <c r="S126" s="19" t="s">
        <v>159</v>
      </c>
      <c r="T126" s="11" t="s">
        <v>160</v>
      </c>
      <c r="U126" t="s">
        <v>16</v>
      </c>
      <c r="V126" t="s">
        <v>320</v>
      </c>
      <c r="X126" t="s">
        <v>329</v>
      </c>
      <c r="Y126" s="23" t="str">
        <f t="shared" si="8"/>
        <v>1150+3074</v>
      </c>
      <c r="Z126" s="23" t="str">
        <f t="shared" si="9"/>
        <v>`               BS Electronics Engineering</v>
      </c>
    </row>
    <row r="127" spans="1:26" x14ac:dyDescent="0.25">
      <c r="A127" s="6" t="s">
        <v>157</v>
      </c>
      <c r="B127" s="7" t="s">
        <v>158</v>
      </c>
      <c r="C127" t="s">
        <v>16</v>
      </c>
      <c r="D127" t="s">
        <v>320</v>
      </c>
      <c r="F127" t="s">
        <v>329</v>
      </c>
      <c r="G127" t="str">
        <f t="shared" si="5"/>
        <v>1149+1131</v>
      </c>
      <c r="H127" t="str">
        <f t="shared" si="6"/>
        <v>`               BS Aeronautical Engineering</v>
      </c>
      <c r="I127" t="s">
        <v>532</v>
      </c>
      <c r="J127" t="str">
        <f t="shared" si="7"/>
        <v>&lt;G3P&gt;&lt;G2P&gt;&lt;G1P&gt;`               BS Aeronautical Engineering</v>
      </c>
      <c r="S127" s="19" t="s">
        <v>161</v>
      </c>
      <c r="T127" s="11" t="s">
        <v>162</v>
      </c>
      <c r="U127" t="s">
        <v>16</v>
      </c>
      <c r="V127" t="s">
        <v>320</v>
      </c>
      <c r="X127" t="s">
        <v>329</v>
      </c>
      <c r="Y127" s="23" t="str">
        <f t="shared" si="8"/>
        <v>1167+1019</v>
      </c>
      <c r="Z127" s="23" t="str">
        <f t="shared" si="9"/>
        <v>`               BS Electronics and Communications Engineering</v>
      </c>
    </row>
    <row r="128" spans="1:26" x14ac:dyDescent="0.25">
      <c r="A128" s="6" t="s">
        <v>159</v>
      </c>
      <c r="B128" s="7" t="s">
        <v>160</v>
      </c>
      <c r="C128" t="s">
        <v>16</v>
      </c>
      <c r="D128" t="s">
        <v>320</v>
      </c>
      <c r="F128" t="s">
        <v>329</v>
      </c>
      <c r="G128" t="str">
        <f t="shared" si="5"/>
        <v>1150+3074</v>
      </c>
      <c r="H128" t="str">
        <f t="shared" si="6"/>
        <v>`               BS Electronics Engineering</v>
      </c>
      <c r="I128" t="s">
        <v>532</v>
      </c>
      <c r="J128" t="str">
        <f t="shared" si="7"/>
        <v>&lt;G3P&gt;&lt;G2P&gt;&lt;G1P&gt;`               BS Electronics Engineering</v>
      </c>
      <c r="S128" s="19">
        <v>1168</v>
      </c>
      <c r="T128" s="11" t="s">
        <v>163</v>
      </c>
      <c r="U128" t="s">
        <v>16</v>
      </c>
      <c r="V128" t="s">
        <v>320</v>
      </c>
      <c r="X128" t="s">
        <v>329</v>
      </c>
      <c r="Y128" s="23">
        <f t="shared" si="8"/>
        <v>1168</v>
      </c>
      <c r="Z128" s="23" t="str">
        <f t="shared" si="9"/>
        <v>`               BS Geodetic Engineering</v>
      </c>
    </row>
    <row r="129" spans="1:26" x14ac:dyDescent="0.25">
      <c r="A129" s="6" t="s">
        <v>161</v>
      </c>
      <c r="B129" s="7" t="s">
        <v>162</v>
      </c>
      <c r="C129" t="s">
        <v>16</v>
      </c>
      <c r="D129" t="s">
        <v>320</v>
      </c>
      <c r="F129" t="s">
        <v>329</v>
      </c>
      <c r="G129" t="str">
        <f t="shared" si="5"/>
        <v>1167+1019</v>
      </c>
      <c r="H129" t="str">
        <f t="shared" si="6"/>
        <v>`               BS Electronics and Communications Engineering</v>
      </c>
      <c r="I129" t="s">
        <v>532</v>
      </c>
      <c r="J129" t="str">
        <f t="shared" si="7"/>
        <v>&lt;G3P&gt;&lt;G2P&gt;&lt;G1P&gt;`               BS Electronics and Communications Engineering</v>
      </c>
      <c r="S129" s="19" t="s">
        <v>164</v>
      </c>
      <c r="T129" s="11" t="s">
        <v>165</v>
      </c>
      <c r="U129" t="s">
        <v>16</v>
      </c>
      <c r="V129" t="s">
        <v>320</v>
      </c>
      <c r="X129" t="s">
        <v>329</v>
      </c>
      <c r="Y129" s="23" t="str">
        <f t="shared" si="8"/>
        <v>1172+1109+3062</v>
      </c>
      <c r="Z129" s="23" t="str">
        <f t="shared" si="9"/>
        <v>`               BS Industrial Engineering</v>
      </c>
    </row>
    <row r="130" spans="1:26" x14ac:dyDescent="0.25">
      <c r="A130" s="6">
        <v>1168</v>
      </c>
      <c r="B130" s="7" t="s">
        <v>163</v>
      </c>
      <c r="C130" t="s">
        <v>16</v>
      </c>
      <c r="D130" t="s">
        <v>320</v>
      </c>
      <c r="F130" t="s">
        <v>329</v>
      </c>
      <c r="G130">
        <f t="shared" ref="G130:G193" si="10">IF(A130="","",A130)</f>
        <v>1168</v>
      </c>
      <c r="H130" t="str">
        <f t="shared" ref="H130:H193" si="11">_xlfn.CONCAT(D130,SUBSTITUTE(B130,"""","`"""),E130)</f>
        <v>`               BS Geodetic Engineering</v>
      </c>
      <c r="I130" t="s">
        <v>532</v>
      </c>
      <c r="J130" t="str">
        <f t="shared" ref="J130:J193" si="12">_xlfn.CONCAT(I130,H130)</f>
        <v>&lt;G3P&gt;&lt;G2P&gt;&lt;G1P&gt;`               BS Geodetic Engineering</v>
      </c>
      <c r="S130" s="19">
        <v>1173</v>
      </c>
      <c r="T130" s="11" t="s">
        <v>166</v>
      </c>
      <c r="U130" t="s">
        <v>16</v>
      </c>
      <c r="V130" t="s">
        <v>320</v>
      </c>
      <c r="X130" t="s">
        <v>329</v>
      </c>
      <c r="Y130" s="23">
        <f t="shared" si="8"/>
        <v>1173</v>
      </c>
      <c r="Z130" s="23" t="str">
        <f t="shared" si="9"/>
        <v>`               BS Agricultural Engineering</v>
      </c>
    </row>
    <row r="131" spans="1:26" x14ac:dyDescent="0.25">
      <c r="A131" s="6" t="s">
        <v>164</v>
      </c>
      <c r="B131" s="7" t="s">
        <v>165</v>
      </c>
      <c r="C131" t="s">
        <v>16</v>
      </c>
      <c r="D131" t="s">
        <v>320</v>
      </c>
      <c r="F131" t="s">
        <v>329</v>
      </c>
      <c r="G131" t="str">
        <f t="shared" si="10"/>
        <v>1172+1109+3062</v>
      </c>
      <c r="H131" t="str">
        <f t="shared" si="11"/>
        <v>`               BS Industrial Engineering</v>
      </c>
      <c r="I131" t="s">
        <v>532</v>
      </c>
      <c r="J131" t="str">
        <f t="shared" si="12"/>
        <v>&lt;G3P&gt;&lt;G2P&gt;&lt;G1P&gt;`               BS Industrial Engineering</v>
      </c>
      <c r="S131" s="19">
        <v>1178</v>
      </c>
      <c r="T131" s="11" t="s">
        <v>167</v>
      </c>
      <c r="U131" t="s">
        <v>16</v>
      </c>
      <c r="V131" t="s">
        <v>320</v>
      </c>
      <c r="X131" t="s">
        <v>329</v>
      </c>
      <c r="Y131" s="23">
        <f t="shared" ref="Y131:Y194" si="13">IF(S131="","",S131)</f>
        <v>1178</v>
      </c>
      <c r="Z131" s="23" t="str">
        <f t="shared" ref="Z131:Z194" si="14">V131&amp;T131&amp;W131</f>
        <v>`               BS Mining Engineering</v>
      </c>
    </row>
    <row r="132" spans="1:26" x14ac:dyDescent="0.25">
      <c r="A132" s="6">
        <v>1173</v>
      </c>
      <c r="B132" s="7" t="s">
        <v>166</v>
      </c>
      <c r="C132" t="s">
        <v>16</v>
      </c>
      <c r="D132" t="s">
        <v>320</v>
      </c>
      <c r="F132" t="s">
        <v>329</v>
      </c>
      <c r="G132">
        <f t="shared" si="10"/>
        <v>1173</v>
      </c>
      <c r="H132" t="str">
        <f t="shared" si="11"/>
        <v>`               BS Agricultural Engineering</v>
      </c>
      <c r="I132" t="s">
        <v>532</v>
      </c>
      <c r="J132" t="str">
        <f t="shared" si="12"/>
        <v>&lt;G3P&gt;&lt;G2P&gt;&lt;G1P&gt;`               BS Agricultural Engineering</v>
      </c>
      <c r="S132" s="19">
        <v>1188</v>
      </c>
      <c r="T132" s="11" t="s">
        <v>168</v>
      </c>
      <c r="U132" t="s">
        <v>16</v>
      </c>
      <c r="V132" t="s">
        <v>320</v>
      </c>
      <c r="X132" t="s">
        <v>329</v>
      </c>
      <c r="Y132" s="23">
        <f t="shared" si="13"/>
        <v>1188</v>
      </c>
      <c r="Z132" s="23" t="str">
        <f t="shared" si="14"/>
        <v>`               Mechatronics Engineering</v>
      </c>
    </row>
    <row r="133" spans="1:26" x14ac:dyDescent="0.25">
      <c r="A133" s="6">
        <v>1178</v>
      </c>
      <c r="B133" s="7" t="s">
        <v>167</v>
      </c>
      <c r="C133" t="s">
        <v>16</v>
      </c>
      <c r="D133" t="s">
        <v>320</v>
      </c>
      <c r="F133" t="s">
        <v>329</v>
      </c>
      <c r="G133">
        <f t="shared" si="10"/>
        <v>1178</v>
      </c>
      <c r="H133" t="str">
        <f t="shared" si="11"/>
        <v>`               BS Mining Engineering</v>
      </c>
      <c r="I133" t="s">
        <v>532</v>
      </c>
      <c r="J133" t="str">
        <f t="shared" si="12"/>
        <v>&lt;G3P&gt;&lt;G2P&gt;&lt;G1P&gt;`               BS Mining Engineering</v>
      </c>
      <c r="S133" s="19">
        <v>1216</v>
      </c>
      <c r="T133" s="11" t="s">
        <v>169</v>
      </c>
      <c r="U133" t="s">
        <v>16</v>
      </c>
      <c r="V133" t="s">
        <v>320</v>
      </c>
      <c r="X133" t="s">
        <v>329</v>
      </c>
      <c r="Y133" s="23">
        <f t="shared" si="13"/>
        <v>1216</v>
      </c>
      <c r="Z133" s="23" t="str">
        <f t="shared" si="14"/>
        <v>`               BS Energy Engineering</v>
      </c>
    </row>
    <row r="134" spans="1:26" x14ac:dyDescent="0.25">
      <c r="A134" s="6">
        <v>1188</v>
      </c>
      <c r="B134" s="7" t="s">
        <v>168</v>
      </c>
      <c r="C134" t="s">
        <v>16</v>
      </c>
      <c r="D134" t="s">
        <v>320</v>
      </c>
      <c r="F134" t="s">
        <v>329</v>
      </c>
      <c r="G134">
        <f t="shared" si="10"/>
        <v>1188</v>
      </c>
      <c r="H134" t="str">
        <f t="shared" si="11"/>
        <v>`               Mechatronics Engineering</v>
      </c>
      <c r="I134" t="s">
        <v>532</v>
      </c>
      <c r="J134" t="str">
        <f t="shared" si="12"/>
        <v>&lt;G3P&gt;&lt;G2P&gt;&lt;G1P&gt;`               Mechatronics Engineering</v>
      </c>
      <c r="S134" s="19">
        <v>3037</v>
      </c>
      <c r="T134" s="11" t="s">
        <v>170</v>
      </c>
      <c r="U134" t="s">
        <v>16</v>
      </c>
      <c r="V134" t="s">
        <v>320</v>
      </c>
      <c r="X134" t="s">
        <v>329</v>
      </c>
      <c r="Y134" s="23">
        <f t="shared" si="13"/>
        <v>3037</v>
      </c>
      <c r="Z134" s="23" t="str">
        <f t="shared" si="14"/>
        <v>`               BS Software Engineering</v>
      </c>
    </row>
    <row r="135" spans="1:26" x14ac:dyDescent="0.25">
      <c r="A135" s="6">
        <v>1216</v>
      </c>
      <c r="B135" s="7" t="s">
        <v>169</v>
      </c>
      <c r="C135" t="s">
        <v>16</v>
      </c>
      <c r="D135" t="s">
        <v>320</v>
      </c>
      <c r="F135" t="s">
        <v>329</v>
      </c>
      <c r="G135">
        <f t="shared" si="10"/>
        <v>1216</v>
      </c>
      <c r="H135" t="str">
        <f t="shared" si="11"/>
        <v>`               BS Energy Engineering</v>
      </c>
      <c r="I135" t="s">
        <v>532</v>
      </c>
      <c r="J135" t="str">
        <f t="shared" si="12"/>
        <v>&lt;G3P&gt;&lt;G2P&gt;&lt;G1P&gt;`               BS Energy Engineering</v>
      </c>
      <c r="S135" s="19">
        <v>3046</v>
      </c>
      <c r="T135" s="11" t="s">
        <v>171</v>
      </c>
      <c r="U135" t="s">
        <v>16</v>
      </c>
      <c r="V135" t="s">
        <v>320</v>
      </c>
      <c r="X135" t="s">
        <v>329</v>
      </c>
      <c r="Y135" s="23">
        <f t="shared" si="13"/>
        <v>3046</v>
      </c>
      <c r="Z135" s="23" t="str">
        <f t="shared" si="14"/>
        <v>`               BS Engineering Technology</v>
      </c>
    </row>
    <row r="136" spans="1:26" x14ac:dyDescent="0.25">
      <c r="A136" s="6">
        <v>3037</v>
      </c>
      <c r="B136" s="7" t="s">
        <v>170</v>
      </c>
      <c r="C136" t="s">
        <v>16</v>
      </c>
      <c r="D136" t="s">
        <v>320</v>
      </c>
      <c r="F136" t="s">
        <v>329</v>
      </c>
      <c r="G136">
        <f t="shared" si="10"/>
        <v>3037</v>
      </c>
      <c r="H136" t="str">
        <f t="shared" si="11"/>
        <v>`               BS Software Engineering</v>
      </c>
      <c r="I136" t="s">
        <v>532</v>
      </c>
      <c r="J136" t="str">
        <f t="shared" si="12"/>
        <v>&lt;G3P&gt;&lt;G2P&gt;&lt;G1P&gt;`               BS Software Engineering</v>
      </c>
      <c r="S136" s="19">
        <v>3088</v>
      </c>
      <c r="T136" s="11" t="s">
        <v>172</v>
      </c>
      <c r="U136" t="s">
        <v>16</v>
      </c>
      <c r="V136" t="s">
        <v>320</v>
      </c>
      <c r="X136" t="s">
        <v>329</v>
      </c>
      <c r="Y136" s="23">
        <f t="shared" si="13"/>
        <v>3088</v>
      </c>
      <c r="Z136" s="23" t="str">
        <f t="shared" si="14"/>
        <v>`               BS Materials Engineering</v>
      </c>
    </row>
    <row r="137" spans="1:26" x14ac:dyDescent="0.25">
      <c r="A137" s="6">
        <v>3046</v>
      </c>
      <c r="B137" s="7" t="s">
        <v>171</v>
      </c>
      <c r="C137" t="s">
        <v>16</v>
      </c>
      <c r="D137" t="s">
        <v>320</v>
      </c>
      <c r="F137" t="s">
        <v>329</v>
      </c>
      <c r="G137">
        <f t="shared" si="10"/>
        <v>3046</v>
      </c>
      <c r="H137" t="str">
        <f t="shared" si="11"/>
        <v>`               BS Engineering Technology</v>
      </c>
      <c r="I137" t="s">
        <v>532</v>
      </c>
      <c r="J137" t="str">
        <f t="shared" si="12"/>
        <v>&lt;G3P&gt;&lt;G2P&gt;&lt;G1P&gt;`               BS Engineering Technology</v>
      </c>
      <c r="S137" s="19">
        <v>3113</v>
      </c>
      <c r="T137" s="11" t="s">
        <v>344</v>
      </c>
      <c r="U137" t="s">
        <v>16</v>
      </c>
      <c r="V137" t="s">
        <v>320</v>
      </c>
      <c r="X137" t="s">
        <v>329</v>
      </c>
      <c r="Y137" s="23">
        <f t="shared" si="13"/>
        <v>3113</v>
      </c>
      <c r="Z137" s="23" t="str">
        <f t="shared" si="14"/>
        <v>`               BS Metallurgical Engineering</v>
      </c>
    </row>
    <row r="138" spans="1:26" x14ac:dyDescent="0.25">
      <c r="A138" s="6">
        <v>3088</v>
      </c>
      <c r="B138" s="7" t="s">
        <v>172</v>
      </c>
      <c r="C138" t="s">
        <v>16</v>
      </c>
      <c r="D138" t="s">
        <v>320</v>
      </c>
      <c r="F138" t="s">
        <v>329</v>
      </c>
      <c r="G138">
        <f t="shared" si="10"/>
        <v>3088</v>
      </c>
      <c r="H138" t="str">
        <f t="shared" si="11"/>
        <v>`               BS Materials Engineering</v>
      </c>
      <c r="I138" t="s">
        <v>532</v>
      </c>
      <c r="J138" t="str">
        <f t="shared" si="12"/>
        <v>&lt;G3P&gt;&lt;G2P&gt;&lt;G1P&gt;`               BS Materials Engineering</v>
      </c>
      <c r="S138" s="19">
        <v>3119</v>
      </c>
      <c r="T138" s="11" t="s">
        <v>345</v>
      </c>
      <c r="U138" t="s">
        <v>16</v>
      </c>
      <c r="V138" t="s">
        <v>320</v>
      </c>
      <c r="X138" t="s">
        <v>329</v>
      </c>
      <c r="Y138" s="23">
        <f t="shared" si="13"/>
        <v>3119</v>
      </c>
      <c r="Z138" s="23" t="str">
        <f t="shared" si="14"/>
        <v>`               BS in Agricultural and Biosystems Engineering</v>
      </c>
    </row>
    <row r="139" spans="1:26" x14ac:dyDescent="0.25">
      <c r="A139" s="6">
        <v>3113</v>
      </c>
      <c r="B139" s="7" t="s">
        <v>344</v>
      </c>
      <c r="C139" t="s">
        <v>16</v>
      </c>
      <c r="D139" t="s">
        <v>320</v>
      </c>
      <c r="F139" t="s">
        <v>329</v>
      </c>
      <c r="G139">
        <f t="shared" si="10"/>
        <v>3113</v>
      </c>
      <c r="H139" t="str">
        <f t="shared" si="11"/>
        <v>`               BS Metallurgical Engineering</v>
      </c>
      <c r="I139" t="s">
        <v>532</v>
      </c>
      <c r="J139" t="str">
        <f t="shared" si="12"/>
        <v>&lt;G3P&gt;&lt;G2P&gt;&lt;G1P&gt;`               BS Metallurgical Engineering</v>
      </c>
      <c r="S139" s="19">
        <v>3121</v>
      </c>
      <c r="T139" s="11" t="s">
        <v>346</v>
      </c>
      <c r="U139" t="s">
        <v>16</v>
      </c>
      <c r="V139" t="s">
        <v>320</v>
      </c>
      <c r="X139" t="s">
        <v>329</v>
      </c>
      <c r="Y139" s="23">
        <f t="shared" si="13"/>
        <v>3121</v>
      </c>
      <c r="Z139" s="23" t="str">
        <f t="shared" si="14"/>
        <v>`               Diploma of Building and Construction</v>
      </c>
    </row>
    <row r="140" spans="1:26" x14ac:dyDescent="0.25">
      <c r="A140" s="6">
        <v>3119</v>
      </c>
      <c r="B140" s="7" t="s">
        <v>345</v>
      </c>
      <c r="C140" t="s">
        <v>16</v>
      </c>
      <c r="D140" t="s">
        <v>320</v>
      </c>
      <c r="F140" t="s">
        <v>329</v>
      </c>
      <c r="G140">
        <f t="shared" si="10"/>
        <v>3119</v>
      </c>
      <c r="H140" t="str">
        <f t="shared" si="11"/>
        <v>`               BS in Agricultural and Biosystems Engineering</v>
      </c>
      <c r="I140" t="s">
        <v>532</v>
      </c>
      <c r="J140" t="str">
        <f t="shared" si="12"/>
        <v>&lt;G3P&gt;&lt;G2P&gt;&lt;G1P&gt;`               BS in Agricultural and Biosystems Engineering</v>
      </c>
      <c r="S140" s="19" t="s">
        <v>316</v>
      </c>
      <c r="T140" s="14" t="s">
        <v>173</v>
      </c>
      <c r="U140" t="s">
        <v>306</v>
      </c>
      <c r="V140" t="s">
        <v>319</v>
      </c>
      <c r="W140" t="s">
        <v>322</v>
      </c>
      <c r="X140" t="s">
        <v>328</v>
      </c>
      <c r="Y140" s="23" t="str">
        <f t="shared" si="13"/>
        <v>1020+1021+1035+1114+1038+1076+3063+1046+1047+1117+1189+3064+1090+1113+3013+1092+1093+1105+3067+1100+1139+1148+3078+1152+1184+1198+1115+1205+1206+3035+1095+3001+3031+3036+3077+3083+3090+3093</v>
      </c>
      <c r="Z140" s="23" t="str">
        <f t="shared" si="14"/>
        <v>`          MEDICAL STUDIES (SUB-SUBNET)&lt;Q&gt;</v>
      </c>
    </row>
    <row r="141" spans="1:26" x14ac:dyDescent="0.25">
      <c r="A141" s="6">
        <v>3121</v>
      </c>
      <c r="B141" s="7" t="s">
        <v>346</v>
      </c>
      <c r="C141" t="s">
        <v>16</v>
      </c>
      <c r="D141" t="s">
        <v>320</v>
      </c>
      <c r="F141" t="s">
        <v>329</v>
      </c>
      <c r="G141">
        <f t="shared" si="10"/>
        <v>3121</v>
      </c>
      <c r="H141" t="str">
        <f t="shared" si="11"/>
        <v>`               Diploma of Building and Construction</v>
      </c>
      <c r="I141" t="s">
        <v>532</v>
      </c>
      <c r="J141" t="str">
        <f t="shared" si="12"/>
        <v>&lt;G3P&gt;&lt;G2P&gt;&lt;G1P&gt;`               Diploma of Building and Construction</v>
      </c>
      <c r="S141" s="19" t="s">
        <v>174</v>
      </c>
      <c r="T141" s="11" t="s">
        <v>175</v>
      </c>
      <c r="U141" t="s">
        <v>16</v>
      </c>
      <c r="V141" t="s">
        <v>320</v>
      </c>
      <c r="X141" t="s">
        <v>329</v>
      </c>
      <c r="Y141" s="23" t="str">
        <f t="shared" si="13"/>
        <v>1020+1021</v>
      </c>
      <c r="Z141" s="23" t="str">
        <f t="shared" si="14"/>
        <v>`               Medical Biology</v>
      </c>
    </row>
    <row r="142" spans="1:26" x14ac:dyDescent="0.25">
      <c r="A142" s="6">
        <v>3122</v>
      </c>
      <c r="B142" s="7" t="s">
        <v>360</v>
      </c>
      <c r="C142" t="s">
        <v>16</v>
      </c>
      <c r="D142" t="s">
        <v>320</v>
      </c>
      <c r="F142" t="s">
        <v>329</v>
      </c>
      <c r="G142">
        <f t="shared" si="10"/>
        <v>3122</v>
      </c>
      <c r="H142" t="str">
        <f t="shared" si="11"/>
        <v>`               BS Manufacturing Engineering</v>
      </c>
      <c r="I142" t="s">
        <v>531</v>
      </c>
      <c r="J142" t="str">
        <f t="shared" si="12"/>
        <v>&lt;G4E&gt;&lt;G3P&gt;&lt;G2P&gt;&lt;G1P&gt;`               BS Manufacturing Engineering</v>
      </c>
      <c r="S142" s="19" t="s">
        <v>176</v>
      </c>
      <c r="T142" s="11" t="s">
        <v>177</v>
      </c>
      <c r="U142" t="s">
        <v>16</v>
      </c>
      <c r="V142" t="s">
        <v>320</v>
      </c>
      <c r="X142" t="s">
        <v>329</v>
      </c>
      <c r="Y142" s="23" t="str">
        <f t="shared" si="13"/>
        <v>1035+1114</v>
      </c>
      <c r="Z142" s="23" t="str">
        <f t="shared" si="14"/>
        <v>`               BS Nursing</v>
      </c>
    </row>
    <row r="143" spans="1:26" x14ac:dyDescent="0.25">
      <c r="A143" s="6" t="s">
        <v>316</v>
      </c>
      <c r="B143" s="17" t="s">
        <v>173</v>
      </c>
      <c r="C143" t="s">
        <v>306</v>
      </c>
      <c r="D143" t="s">
        <v>319</v>
      </c>
      <c r="E143" t="s">
        <v>322</v>
      </c>
      <c r="F143" t="s">
        <v>328</v>
      </c>
      <c r="G143" t="str">
        <f t="shared" si="10"/>
        <v>1020+1021+1035+1114+1038+1076+3063+1046+1047+1117+1189+3064+1090+1113+3013+1092+1093+1105+3067+1100+1139+1148+3078+1152+1184+1198+1115+1205+1206+3035+1095+3001+3031+3036+3077+3083+3090+3093</v>
      </c>
      <c r="H143" t="str">
        <f t="shared" si="11"/>
        <v>`          MEDICAL STUDIES (SUB-SUBNET)&lt;Q&gt;</v>
      </c>
      <c r="I143" t="s">
        <v>527</v>
      </c>
      <c r="J143" t="str">
        <f t="shared" si="12"/>
        <v>&lt;G2P&gt;&lt;G1P&gt;`          MEDICAL STUDIES (SUB-SUBNET)&lt;Q&gt;</v>
      </c>
      <c r="S143" s="19" t="s">
        <v>178</v>
      </c>
      <c r="T143" s="11" t="s">
        <v>179</v>
      </c>
      <c r="U143" t="s">
        <v>16</v>
      </c>
      <c r="V143" t="s">
        <v>320</v>
      </c>
      <c r="X143" t="s">
        <v>329</v>
      </c>
      <c r="Y143" s="23" t="str">
        <f t="shared" si="13"/>
        <v>1038+1076+3063</v>
      </c>
      <c r="Z143" s="23" t="str">
        <f t="shared" si="14"/>
        <v>`               BS Biology</v>
      </c>
    </row>
    <row r="144" spans="1:26" x14ac:dyDescent="0.25">
      <c r="A144" s="6" t="s">
        <v>174</v>
      </c>
      <c r="B144" s="7" t="s">
        <v>175</v>
      </c>
      <c r="C144" t="s">
        <v>16</v>
      </c>
      <c r="D144" t="s">
        <v>320</v>
      </c>
      <c r="F144" t="s">
        <v>329</v>
      </c>
      <c r="G144" t="str">
        <f t="shared" si="10"/>
        <v>1020+1021</v>
      </c>
      <c r="H144" t="str">
        <f t="shared" si="11"/>
        <v>`               Medical Biology</v>
      </c>
      <c r="I144" t="s">
        <v>530</v>
      </c>
      <c r="J144" t="str">
        <f t="shared" si="12"/>
        <v>&lt;G4B&gt;&lt;G3P&gt;&lt;G2P&gt;&lt;G1P&gt;`               Medical Biology</v>
      </c>
      <c r="S144" s="19">
        <v>1046</v>
      </c>
      <c r="T144" s="11" t="s">
        <v>180</v>
      </c>
      <c r="U144" t="s">
        <v>16</v>
      </c>
      <c r="V144" t="s">
        <v>320</v>
      </c>
      <c r="X144" t="s">
        <v>329</v>
      </c>
      <c r="Y144" s="23">
        <f t="shared" si="13"/>
        <v>1046</v>
      </c>
      <c r="Z144" s="23" t="str">
        <f t="shared" si="14"/>
        <v>`               BS Human Biology</v>
      </c>
    </row>
    <row r="145" spans="1:26" x14ac:dyDescent="0.25">
      <c r="A145" s="6" t="s">
        <v>176</v>
      </c>
      <c r="B145" s="7" t="s">
        <v>177</v>
      </c>
      <c r="C145" t="s">
        <v>16</v>
      </c>
      <c r="D145" t="s">
        <v>320</v>
      </c>
      <c r="F145" t="s">
        <v>329</v>
      </c>
      <c r="G145" t="str">
        <f t="shared" si="10"/>
        <v>1035+1114</v>
      </c>
      <c r="H145" t="str">
        <f t="shared" si="11"/>
        <v>`               BS Nursing</v>
      </c>
      <c r="I145" t="s">
        <v>532</v>
      </c>
      <c r="J145" t="str">
        <f t="shared" si="12"/>
        <v>&lt;G3P&gt;&lt;G2P&gt;&lt;G1P&gt;`               BS Nursing</v>
      </c>
      <c r="S145" s="19" t="s">
        <v>181</v>
      </c>
      <c r="T145" s="11" t="s">
        <v>182</v>
      </c>
      <c r="U145" t="s">
        <v>16</v>
      </c>
      <c r="V145" t="s">
        <v>320</v>
      </c>
      <c r="X145" t="s">
        <v>329</v>
      </c>
      <c r="Y145" s="23" t="str">
        <f t="shared" si="13"/>
        <v>1047+1117+1189+3064</v>
      </c>
      <c r="Z145" s="23" t="str">
        <f t="shared" si="14"/>
        <v>`               BS Psychology</v>
      </c>
    </row>
    <row r="146" spans="1:26" x14ac:dyDescent="0.25">
      <c r="A146" s="6" t="s">
        <v>178</v>
      </c>
      <c r="B146" s="7" t="s">
        <v>179</v>
      </c>
      <c r="C146" t="s">
        <v>16</v>
      </c>
      <c r="D146" t="s">
        <v>320</v>
      </c>
      <c r="F146" t="s">
        <v>329</v>
      </c>
      <c r="G146" t="str">
        <f t="shared" si="10"/>
        <v>1038+1076+3063</v>
      </c>
      <c r="H146" t="str">
        <f t="shared" si="11"/>
        <v>`               BS Biology</v>
      </c>
      <c r="I146" t="s">
        <v>532</v>
      </c>
      <c r="J146" t="str">
        <f t="shared" si="12"/>
        <v>&lt;G3P&gt;&lt;G2P&gt;&lt;G1P&gt;`               BS Biology</v>
      </c>
      <c r="S146" s="19" t="s">
        <v>183</v>
      </c>
      <c r="T146" s="11" t="s">
        <v>184</v>
      </c>
      <c r="U146" t="s">
        <v>16</v>
      </c>
      <c r="V146" t="s">
        <v>320</v>
      </c>
      <c r="X146" t="s">
        <v>329</v>
      </c>
      <c r="Y146" s="23" t="str">
        <f t="shared" si="13"/>
        <v>1090+1113+3013</v>
      </c>
      <c r="Z146" s="23" t="str">
        <f t="shared" si="14"/>
        <v>`               BS Medical Technology</v>
      </c>
    </row>
    <row r="147" spans="1:26" x14ac:dyDescent="0.25">
      <c r="A147" s="6">
        <v>1046</v>
      </c>
      <c r="B147" s="7" t="s">
        <v>180</v>
      </c>
      <c r="C147" t="s">
        <v>16</v>
      </c>
      <c r="D147" t="s">
        <v>320</v>
      </c>
      <c r="F147" t="s">
        <v>329</v>
      </c>
      <c r="G147">
        <f t="shared" si="10"/>
        <v>1046</v>
      </c>
      <c r="H147" t="str">
        <f t="shared" si="11"/>
        <v>`               BS Human Biology</v>
      </c>
      <c r="I147" t="s">
        <v>532</v>
      </c>
      <c r="J147" t="str">
        <f t="shared" si="12"/>
        <v>&lt;G3P&gt;&lt;G2P&gt;&lt;G1P&gt;`               BS Human Biology</v>
      </c>
      <c r="S147" s="19">
        <v>1092</v>
      </c>
      <c r="T147" s="11" t="s">
        <v>185</v>
      </c>
      <c r="U147" t="s">
        <v>16</v>
      </c>
      <c r="V147" t="s">
        <v>320</v>
      </c>
      <c r="X147" t="s">
        <v>329</v>
      </c>
      <c r="Y147" s="23">
        <f t="shared" si="13"/>
        <v>1092</v>
      </c>
      <c r="Z147" s="23" t="str">
        <f t="shared" si="14"/>
        <v>`               BS Pharmacy</v>
      </c>
    </row>
    <row r="148" spans="1:26" x14ac:dyDescent="0.25">
      <c r="A148" s="6" t="s">
        <v>181</v>
      </c>
      <c r="B148" s="7" t="s">
        <v>182</v>
      </c>
      <c r="C148" t="s">
        <v>16</v>
      </c>
      <c r="D148" t="s">
        <v>320</v>
      </c>
      <c r="F148" t="s">
        <v>329</v>
      </c>
      <c r="G148" t="str">
        <f t="shared" si="10"/>
        <v>1047+1117+1189+3064</v>
      </c>
      <c r="H148" t="str">
        <f t="shared" si="11"/>
        <v>`               BS Psychology</v>
      </c>
      <c r="I148" t="s">
        <v>532</v>
      </c>
      <c r="J148" t="str">
        <f t="shared" si="12"/>
        <v>&lt;G3P&gt;&lt;G2P&gt;&lt;G1P&gt;`               BS Psychology</v>
      </c>
      <c r="S148" s="19">
        <v>1093</v>
      </c>
      <c r="T148" s="11" t="s">
        <v>186</v>
      </c>
      <c r="U148" t="s">
        <v>16</v>
      </c>
      <c r="V148" t="s">
        <v>320</v>
      </c>
      <c r="X148" t="s">
        <v>329</v>
      </c>
      <c r="Y148" s="23">
        <f t="shared" si="13"/>
        <v>1093</v>
      </c>
      <c r="Z148" s="23" t="str">
        <f t="shared" si="14"/>
        <v>`               BS Premed Physics</v>
      </c>
    </row>
    <row r="149" spans="1:26" x14ac:dyDescent="0.25">
      <c r="A149" s="6" t="s">
        <v>183</v>
      </c>
      <c r="B149" s="7" t="s">
        <v>184</v>
      </c>
      <c r="C149" t="s">
        <v>16</v>
      </c>
      <c r="D149" t="s">
        <v>320</v>
      </c>
      <c r="F149" t="s">
        <v>329</v>
      </c>
      <c r="G149" t="str">
        <f t="shared" si="10"/>
        <v>1090+1113+3013</v>
      </c>
      <c r="H149" t="str">
        <f t="shared" si="11"/>
        <v>`               BS Medical Technology</v>
      </c>
      <c r="I149" t="s">
        <v>532</v>
      </c>
      <c r="J149" t="str">
        <f t="shared" si="12"/>
        <v>&lt;G3P&gt;&lt;G2P&gt;&lt;G1P&gt;`               BS Medical Technology</v>
      </c>
      <c r="S149" s="19" t="s">
        <v>187</v>
      </c>
      <c r="T149" s="11" t="s">
        <v>188</v>
      </c>
      <c r="U149" t="s">
        <v>16</v>
      </c>
      <c r="V149" t="s">
        <v>320</v>
      </c>
      <c r="X149" t="s">
        <v>329</v>
      </c>
      <c r="Y149" s="23" t="str">
        <f t="shared" si="13"/>
        <v>1105+3067</v>
      </c>
      <c r="Z149" s="23" t="str">
        <f t="shared" si="14"/>
        <v>`               Dentistry</v>
      </c>
    </row>
    <row r="150" spans="1:26" x14ac:dyDescent="0.25">
      <c r="A150" s="6">
        <v>1092</v>
      </c>
      <c r="B150" s="7" t="s">
        <v>185</v>
      </c>
      <c r="C150" t="s">
        <v>16</v>
      </c>
      <c r="D150" t="s">
        <v>320</v>
      </c>
      <c r="F150" t="s">
        <v>329</v>
      </c>
      <c r="G150">
        <f t="shared" si="10"/>
        <v>1092</v>
      </c>
      <c r="H150" t="str">
        <f t="shared" si="11"/>
        <v>`               BS Pharmacy</v>
      </c>
      <c r="I150" t="s">
        <v>532</v>
      </c>
      <c r="J150" t="str">
        <f t="shared" si="12"/>
        <v>&lt;G3P&gt;&lt;G2P&gt;&lt;G1P&gt;`               BS Pharmacy</v>
      </c>
      <c r="S150" s="19">
        <v>1100</v>
      </c>
      <c r="T150" s="11" t="s">
        <v>189</v>
      </c>
      <c r="U150" t="s">
        <v>16</v>
      </c>
      <c r="V150" t="s">
        <v>320</v>
      </c>
      <c r="X150" t="s">
        <v>329</v>
      </c>
      <c r="Y150" s="23">
        <f t="shared" si="13"/>
        <v>1100</v>
      </c>
      <c r="Z150" s="23" t="str">
        <f t="shared" si="14"/>
        <v>`               BS Medical Terminology and Administration</v>
      </c>
    </row>
    <row r="151" spans="1:26" x14ac:dyDescent="0.25">
      <c r="A151" s="6">
        <v>1093</v>
      </c>
      <c r="B151" s="7" t="s">
        <v>186</v>
      </c>
      <c r="C151" t="s">
        <v>16</v>
      </c>
      <c r="D151" t="s">
        <v>320</v>
      </c>
      <c r="F151" t="s">
        <v>329</v>
      </c>
      <c r="G151">
        <f t="shared" si="10"/>
        <v>1093</v>
      </c>
      <c r="H151" t="str">
        <f t="shared" si="11"/>
        <v>`               BS Premed Physics</v>
      </c>
      <c r="I151" t="s">
        <v>532</v>
      </c>
      <c r="J151" t="str">
        <f t="shared" si="12"/>
        <v>&lt;G3P&gt;&lt;G2P&gt;&lt;G1P&gt;`               BS Premed Physics</v>
      </c>
      <c r="S151" s="19">
        <v>1139</v>
      </c>
      <c r="T151" s="11" t="s">
        <v>190</v>
      </c>
      <c r="U151" t="s">
        <v>16</v>
      </c>
      <c r="V151" t="s">
        <v>320</v>
      </c>
      <c r="X151" t="s">
        <v>329</v>
      </c>
      <c r="Y151" s="23">
        <f t="shared" si="13"/>
        <v>1139</v>
      </c>
      <c r="Z151" s="23" t="str">
        <f t="shared" si="14"/>
        <v>`               BA Applied Psychology</v>
      </c>
    </row>
    <row r="152" spans="1:26" x14ac:dyDescent="0.25">
      <c r="A152" s="6" t="s">
        <v>187</v>
      </c>
      <c r="B152" s="7" t="s">
        <v>188</v>
      </c>
      <c r="C152" t="s">
        <v>16</v>
      </c>
      <c r="D152" t="s">
        <v>320</v>
      </c>
      <c r="F152" t="s">
        <v>329</v>
      </c>
      <c r="G152" t="str">
        <f t="shared" si="10"/>
        <v>1105+3067</v>
      </c>
      <c r="H152" t="str">
        <f t="shared" si="11"/>
        <v>`               Dentistry</v>
      </c>
      <c r="I152" t="s">
        <v>532</v>
      </c>
      <c r="J152" t="str">
        <f t="shared" si="12"/>
        <v>&lt;G3P&gt;&lt;G2P&gt;&lt;G1P&gt;`               Dentistry</v>
      </c>
      <c r="S152" s="19" t="s">
        <v>191</v>
      </c>
      <c r="T152" s="11" t="s">
        <v>192</v>
      </c>
      <c r="U152" t="s">
        <v>16</v>
      </c>
      <c r="V152" t="s">
        <v>320</v>
      </c>
      <c r="X152" t="s">
        <v>329</v>
      </c>
      <c r="Y152" s="23" t="str">
        <f t="shared" si="13"/>
        <v>1148+3078</v>
      </c>
      <c r="Z152" s="23" t="str">
        <f t="shared" si="14"/>
        <v>`               Bachelor of Forensic Science</v>
      </c>
    </row>
    <row r="153" spans="1:26" x14ac:dyDescent="0.25">
      <c r="A153" s="6">
        <v>1100</v>
      </c>
      <c r="B153" s="7" t="s">
        <v>189</v>
      </c>
      <c r="C153" t="s">
        <v>16</v>
      </c>
      <c r="D153" t="s">
        <v>320</v>
      </c>
      <c r="F153" t="s">
        <v>329</v>
      </c>
      <c r="G153">
        <f t="shared" si="10"/>
        <v>1100</v>
      </c>
      <c r="H153" t="str">
        <f t="shared" si="11"/>
        <v>`               BS Medical Terminology and Administration</v>
      </c>
      <c r="I153" t="s">
        <v>532</v>
      </c>
      <c r="J153" t="str">
        <f t="shared" si="12"/>
        <v>&lt;G3P&gt;&lt;G2P&gt;&lt;G1P&gt;`               BS Medical Terminology and Administration</v>
      </c>
      <c r="S153" s="19">
        <v>1152</v>
      </c>
      <c r="T153" s="11" t="s">
        <v>193</v>
      </c>
      <c r="U153" t="s">
        <v>16</v>
      </c>
      <c r="V153" t="s">
        <v>320</v>
      </c>
      <c r="X153" t="s">
        <v>329</v>
      </c>
      <c r="Y153" s="23">
        <f t="shared" si="13"/>
        <v>1152</v>
      </c>
      <c r="Z153" s="23" t="str">
        <f t="shared" si="14"/>
        <v>`               BS Medical Laboratory Science</v>
      </c>
    </row>
    <row r="154" spans="1:26" x14ac:dyDescent="0.25">
      <c r="A154" s="6">
        <v>1139</v>
      </c>
      <c r="B154" s="7" t="s">
        <v>190</v>
      </c>
      <c r="C154" t="s">
        <v>16</v>
      </c>
      <c r="D154" t="s">
        <v>320</v>
      </c>
      <c r="F154" t="s">
        <v>329</v>
      </c>
      <c r="G154">
        <f t="shared" si="10"/>
        <v>1139</v>
      </c>
      <c r="H154" t="str">
        <f t="shared" si="11"/>
        <v>`               BA Applied Psychology</v>
      </c>
      <c r="I154" t="s">
        <v>532</v>
      </c>
      <c r="J154" t="str">
        <f t="shared" si="12"/>
        <v>&lt;G3P&gt;&lt;G2P&gt;&lt;G1P&gt;`               BA Applied Psychology</v>
      </c>
      <c r="S154" s="19">
        <v>1184</v>
      </c>
      <c r="T154" s="11" t="s">
        <v>194</v>
      </c>
      <c r="U154" t="s">
        <v>16</v>
      </c>
      <c r="V154" t="s">
        <v>320</v>
      </c>
      <c r="X154" t="s">
        <v>329</v>
      </c>
      <c r="Y154" s="23">
        <f t="shared" si="13"/>
        <v>1184</v>
      </c>
      <c r="Z154" s="23" t="str">
        <f t="shared" si="14"/>
        <v>`               Doctor of Dental Medicine</v>
      </c>
    </row>
    <row r="155" spans="1:26" x14ac:dyDescent="0.25">
      <c r="A155" s="6" t="s">
        <v>191</v>
      </c>
      <c r="B155" s="7" t="s">
        <v>192</v>
      </c>
      <c r="C155" t="s">
        <v>16</v>
      </c>
      <c r="D155" t="s">
        <v>320</v>
      </c>
      <c r="F155" t="s">
        <v>329</v>
      </c>
      <c r="G155" t="str">
        <f t="shared" si="10"/>
        <v>1148+3078</v>
      </c>
      <c r="H155" t="str">
        <f t="shared" si="11"/>
        <v>`               Bachelor of Forensic Science</v>
      </c>
      <c r="I155" t="s">
        <v>532</v>
      </c>
      <c r="J155" t="str">
        <f t="shared" si="12"/>
        <v>&lt;G3P&gt;&lt;G2P&gt;&lt;G1P&gt;`               Bachelor of Forensic Science</v>
      </c>
      <c r="S155" s="19" t="s">
        <v>195</v>
      </c>
      <c r="T155" s="11" t="s">
        <v>196</v>
      </c>
      <c r="U155" t="s">
        <v>16</v>
      </c>
      <c r="V155" t="s">
        <v>320</v>
      </c>
      <c r="X155" t="s">
        <v>329</v>
      </c>
      <c r="Y155" s="23" t="str">
        <f t="shared" si="13"/>
        <v>1198+1115</v>
      </c>
      <c r="Z155" s="23" t="str">
        <f t="shared" si="14"/>
        <v>`               BS Physical Therapy</v>
      </c>
    </row>
    <row r="156" spans="1:26" x14ac:dyDescent="0.25">
      <c r="A156" s="6">
        <v>1152</v>
      </c>
      <c r="B156" s="7" t="s">
        <v>193</v>
      </c>
      <c r="C156" t="s">
        <v>16</v>
      </c>
      <c r="D156" t="s">
        <v>320</v>
      </c>
      <c r="F156" t="s">
        <v>329</v>
      </c>
      <c r="G156">
        <f t="shared" si="10"/>
        <v>1152</v>
      </c>
      <c r="H156" t="str">
        <f t="shared" si="11"/>
        <v>`               BS Medical Laboratory Science</v>
      </c>
      <c r="I156" t="s">
        <v>532</v>
      </c>
      <c r="J156" t="str">
        <f t="shared" si="12"/>
        <v>&lt;G3P&gt;&lt;G2P&gt;&lt;G1P&gt;`               BS Medical Laboratory Science</v>
      </c>
      <c r="S156" s="19">
        <v>1205</v>
      </c>
      <c r="T156" s="11" t="s">
        <v>197</v>
      </c>
      <c r="U156" t="s">
        <v>16</v>
      </c>
      <c r="V156" t="s">
        <v>320</v>
      </c>
      <c r="X156" t="s">
        <v>329</v>
      </c>
      <c r="Y156" s="23">
        <f t="shared" si="13"/>
        <v>1205</v>
      </c>
      <c r="Z156" s="23" t="str">
        <f t="shared" si="14"/>
        <v>`               BS Occupational Therapy</v>
      </c>
    </row>
    <row r="157" spans="1:26" x14ac:dyDescent="0.25">
      <c r="A157" s="6">
        <v>1184</v>
      </c>
      <c r="B157" s="7" t="s">
        <v>194</v>
      </c>
      <c r="C157" t="s">
        <v>16</v>
      </c>
      <c r="D157" t="s">
        <v>320</v>
      </c>
      <c r="F157" t="s">
        <v>329</v>
      </c>
      <c r="G157">
        <f t="shared" si="10"/>
        <v>1184</v>
      </c>
      <c r="H157" t="str">
        <f t="shared" si="11"/>
        <v>`               Doctor of Dental Medicine</v>
      </c>
      <c r="I157" t="s">
        <v>532</v>
      </c>
      <c r="J157" t="str">
        <f t="shared" si="12"/>
        <v>&lt;G3P&gt;&lt;G2P&gt;&lt;G1P&gt;`               Doctor of Dental Medicine</v>
      </c>
      <c r="S157" s="19" t="s">
        <v>198</v>
      </c>
      <c r="T157" s="11" t="s">
        <v>199</v>
      </c>
      <c r="U157" t="s">
        <v>16</v>
      </c>
      <c r="V157" t="s">
        <v>320</v>
      </c>
      <c r="X157" t="s">
        <v>329</v>
      </c>
      <c r="Y157" s="23" t="str">
        <f t="shared" si="13"/>
        <v>1206+3035</v>
      </c>
      <c r="Z157" s="23" t="str">
        <f t="shared" si="14"/>
        <v>`               BS Radiologic Technology</v>
      </c>
    </row>
    <row r="158" spans="1:26" x14ac:dyDescent="0.25">
      <c r="A158" s="6" t="s">
        <v>195</v>
      </c>
      <c r="B158" s="7" t="s">
        <v>196</v>
      </c>
      <c r="C158" t="s">
        <v>16</v>
      </c>
      <c r="D158" t="s">
        <v>320</v>
      </c>
      <c r="F158" t="s">
        <v>329</v>
      </c>
      <c r="G158" t="str">
        <f t="shared" si="10"/>
        <v>1198+1115</v>
      </c>
      <c r="H158" t="str">
        <f t="shared" si="11"/>
        <v>`               BS Physical Therapy</v>
      </c>
      <c r="I158" t="s">
        <v>532</v>
      </c>
      <c r="J158" t="str">
        <f t="shared" si="12"/>
        <v>&lt;G3P&gt;&lt;G2P&gt;&lt;G1P&gt;`               BS Physical Therapy</v>
      </c>
      <c r="S158" s="19">
        <v>1095</v>
      </c>
      <c r="T158" s="11" t="s">
        <v>200</v>
      </c>
      <c r="U158" t="s">
        <v>16</v>
      </c>
      <c r="V158" t="s">
        <v>320</v>
      </c>
      <c r="X158" t="s">
        <v>329</v>
      </c>
      <c r="Y158" s="23">
        <f t="shared" si="13"/>
        <v>1095</v>
      </c>
      <c r="Z158" s="23" t="str">
        <f t="shared" si="14"/>
        <v>`               BS Respiratory Therapy</v>
      </c>
    </row>
    <row r="159" spans="1:26" x14ac:dyDescent="0.25">
      <c r="A159" s="6">
        <v>1205</v>
      </c>
      <c r="B159" s="7" t="s">
        <v>197</v>
      </c>
      <c r="C159" t="s">
        <v>16</v>
      </c>
      <c r="D159" t="s">
        <v>320</v>
      </c>
      <c r="F159" t="s">
        <v>329</v>
      </c>
      <c r="G159">
        <f t="shared" si="10"/>
        <v>1205</v>
      </c>
      <c r="H159" t="str">
        <f t="shared" si="11"/>
        <v>`               BS Occupational Therapy</v>
      </c>
      <c r="I159" t="s">
        <v>532</v>
      </c>
      <c r="J159" t="str">
        <f t="shared" si="12"/>
        <v>&lt;G3P&gt;&lt;G2P&gt;&lt;G1P&gt;`               BS Occupational Therapy</v>
      </c>
      <c r="S159" s="19">
        <v>3001</v>
      </c>
      <c r="T159" s="11" t="s">
        <v>201</v>
      </c>
      <c r="U159" t="s">
        <v>16</v>
      </c>
      <c r="V159" t="s">
        <v>320</v>
      </c>
      <c r="X159" t="s">
        <v>329</v>
      </c>
      <c r="Y159" s="23">
        <f t="shared" si="13"/>
        <v>3001</v>
      </c>
      <c r="Z159" s="23" t="str">
        <f t="shared" si="14"/>
        <v>`               Doctor of Medicine</v>
      </c>
    </row>
    <row r="160" spans="1:26" x14ac:dyDescent="0.25">
      <c r="A160" s="6" t="s">
        <v>198</v>
      </c>
      <c r="B160" s="7" t="s">
        <v>199</v>
      </c>
      <c r="C160" t="s">
        <v>16</v>
      </c>
      <c r="D160" t="s">
        <v>320</v>
      </c>
      <c r="F160" t="s">
        <v>329</v>
      </c>
      <c r="G160" t="str">
        <f t="shared" si="10"/>
        <v>1206+3035</v>
      </c>
      <c r="H160" t="str">
        <f t="shared" si="11"/>
        <v>`               BS Radiologic Technology</v>
      </c>
      <c r="I160" t="s">
        <v>532</v>
      </c>
      <c r="J160" t="str">
        <f t="shared" si="12"/>
        <v>&lt;G3P&gt;&lt;G2P&gt;&lt;G1P&gt;`               BS Radiologic Technology</v>
      </c>
      <c r="S160" s="19">
        <v>3031</v>
      </c>
      <c r="T160" s="11" t="s">
        <v>202</v>
      </c>
      <c r="U160" t="s">
        <v>16</v>
      </c>
      <c r="V160" t="s">
        <v>320</v>
      </c>
      <c r="X160" t="s">
        <v>329</v>
      </c>
      <c r="Y160" s="23">
        <f t="shared" si="13"/>
        <v>3031</v>
      </c>
      <c r="Z160" s="23" t="str">
        <f t="shared" si="14"/>
        <v>`               BS Biochemistry</v>
      </c>
    </row>
    <row r="161" spans="1:26" x14ac:dyDescent="0.25">
      <c r="A161" s="6">
        <v>1095</v>
      </c>
      <c r="B161" s="7" t="s">
        <v>200</v>
      </c>
      <c r="C161" t="s">
        <v>16</v>
      </c>
      <c r="D161" t="s">
        <v>320</v>
      </c>
      <c r="F161" t="s">
        <v>329</v>
      </c>
      <c r="G161">
        <f t="shared" si="10"/>
        <v>1095</v>
      </c>
      <c r="H161" t="str">
        <f t="shared" si="11"/>
        <v>`               BS Respiratory Therapy</v>
      </c>
      <c r="I161" t="s">
        <v>532</v>
      </c>
      <c r="J161" t="str">
        <f t="shared" si="12"/>
        <v>&lt;G3P&gt;&lt;G2P&gt;&lt;G1P&gt;`               BS Respiratory Therapy</v>
      </c>
      <c r="S161" s="19">
        <v>3036</v>
      </c>
      <c r="T161" s="11" t="s">
        <v>203</v>
      </c>
      <c r="U161" t="s">
        <v>16</v>
      </c>
      <c r="V161" t="s">
        <v>320</v>
      </c>
      <c r="X161" t="s">
        <v>329</v>
      </c>
      <c r="Y161" s="23">
        <f t="shared" si="13"/>
        <v>3036</v>
      </c>
      <c r="Z161" s="23" t="str">
        <f t="shared" si="14"/>
        <v>`               BS Nutrition and Dietetics</v>
      </c>
    </row>
    <row r="162" spans="1:26" x14ac:dyDescent="0.25">
      <c r="A162" s="6">
        <v>3001</v>
      </c>
      <c r="B162" s="7" t="s">
        <v>201</v>
      </c>
      <c r="C162" t="s">
        <v>16</v>
      </c>
      <c r="D162" t="s">
        <v>320</v>
      </c>
      <c r="F162" t="s">
        <v>329</v>
      </c>
      <c r="G162">
        <f t="shared" si="10"/>
        <v>3001</v>
      </c>
      <c r="H162" t="str">
        <f t="shared" si="11"/>
        <v>`               Doctor of Medicine</v>
      </c>
      <c r="I162" t="s">
        <v>532</v>
      </c>
      <c r="J162" t="str">
        <f t="shared" si="12"/>
        <v>&lt;G3P&gt;&lt;G2P&gt;&lt;G1P&gt;`               Doctor of Medicine</v>
      </c>
      <c r="S162" s="19">
        <v>3077</v>
      </c>
      <c r="T162" s="11" t="s">
        <v>204</v>
      </c>
      <c r="U162" t="s">
        <v>16</v>
      </c>
      <c r="V162" t="s">
        <v>320</v>
      </c>
      <c r="X162" t="s">
        <v>329</v>
      </c>
      <c r="Y162" s="23">
        <f t="shared" si="13"/>
        <v>3077</v>
      </c>
      <c r="Z162" s="23" t="str">
        <f t="shared" si="14"/>
        <v>`               Bachelor in Medical Laboratory Science</v>
      </c>
    </row>
    <row r="163" spans="1:26" x14ac:dyDescent="0.25">
      <c r="A163" s="6">
        <v>3031</v>
      </c>
      <c r="B163" s="7" t="s">
        <v>202</v>
      </c>
      <c r="C163" t="s">
        <v>16</v>
      </c>
      <c r="D163" t="s">
        <v>320</v>
      </c>
      <c r="F163" t="s">
        <v>329</v>
      </c>
      <c r="G163">
        <f t="shared" si="10"/>
        <v>3031</v>
      </c>
      <c r="H163" t="str">
        <f t="shared" si="11"/>
        <v>`               BS Biochemistry</v>
      </c>
      <c r="I163" t="s">
        <v>532</v>
      </c>
      <c r="J163" t="str">
        <f t="shared" si="12"/>
        <v>&lt;G3P&gt;&lt;G2P&gt;&lt;G1P&gt;`               BS Biochemistry</v>
      </c>
      <c r="S163" s="19">
        <v>3083</v>
      </c>
      <c r="T163" s="11" t="s">
        <v>205</v>
      </c>
      <c r="U163" t="s">
        <v>16</v>
      </c>
      <c r="V163" t="s">
        <v>320</v>
      </c>
      <c r="X163" t="s">
        <v>329</v>
      </c>
      <c r="Y163" s="23">
        <f t="shared" si="13"/>
        <v>3083</v>
      </c>
      <c r="Z163" s="23" t="str">
        <f t="shared" si="14"/>
        <v>`               BS Health Sciences</v>
      </c>
    </row>
    <row r="164" spans="1:26" x14ac:dyDescent="0.25">
      <c r="A164" s="6">
        <v>3036</v>
      </c>
      <c r="B164" s="7" t="s">
        <v>203</v>
      </c>
      <c r="C164" t="s">
        <v>16</v>
      </c>
      <c r="D164" t="s">
        <v>320</v>
      </c>
      <c r="F164" t="s">
        <v>329</v>
      </c>
      <c r="G164">
        <f t="shared" si="10"/>
        <v>3036</v>
      </c>
      <c r="H164" t="str">
        <f t="shared" si="11"/>
        <v>`               BS Nutrition and Dietetics</v>
      </c>
      <c r="I164" t="s">
        <v>532</v>
      </c>
      <c r="J164" t="str">
        <f t="shared" si="12"/>
        <v>&lt;G3P&gt;&lt;G2P&gt;&lt;G1P&gt;`               BS Nutrition and Dietetics</v>
      </c>
      <c r="S164" s="19">
        <v>3090</v>
      </c>
      <c r="T164" s="11" t="s">
        <v>206</v>
      </c>
      <c r="U164" t="s">
        <v>16</v>
      </c>
      <c r="V164" t="s">
        <v>320</v>
      </c>
      <c r="X164" t="s">
        <v>329</v>
      </c>
      <c r="Y164" s="23">
        <f t="shared" si="13"/>
        <v>3090</v>
      </c>
      <c r="Z164" s="23" t="str">
        <f t="shared" si="14"/>
        <v>`               BS Animal Biology</v>
      </c>
    </row>
    <row r="165" spans="1:26" x14ac:dyDescent="0.25">
      <c r="A165" s="6">
        <v>3077</v>
      </c>
      <c r="B165" s="7" t="s">
        <v>204</v>
      </c>
      <c r="C165" t="s">
        <v>16</v>
      </c>
      <c r="D165" t="s">
        <v>320</v>
      </c>
      <c r="F165" t="s">
        <v>329</v>
      </c>
      <c r="G165">
        <f t="shared" si="10"/>
        <v>3077</v>
      </c>
      <c r="H165" t="str">
        <f t="shared" si="11"/>
        <v>`               Bachelor in Medical Laboratory Science</v>
      </c>
      <c r="I165" t="s">
        <v>532</v>
      </c>
      <c r="J165" t="str">
        <f t="shared" si="12"/>
        <v>&lt;G3P&gt;&lt;G2P&gt;&lt;G1P&gt;`               Bachelor in Medical Laboratory Science</v>
      </c>
      <c r="S165" s="19">
        <v>3093</v>
      </c>
      <c r="T165" s="11" t="s">
        <v>207</v>
      </c>
      <c r="U165" t="s">
        <v>16</v>
      </c>
      <c r="V165" t="s">
        <v>320</v>
      </c>
      <c r="X165" t="s">
        <v>329</v>
      </c>
      <c r="Y165" s="23">
        <f t="shared" si="13"/>
        <v>3093</v>
      </c>
      <c r="Z165" s="23" t="str">
        <f t="shared" si="14"/>
        <v>`               BS  MIDWIFERY</v>
      </c>
    </row>
    <row r="166" spans="1:26" x14ac:dyDescent="0.25">
      <c r="A166" s="6">
        <v>3083</v>
      </c>
      <c r="B166" s="7" t="s">
        <v>205</v>
      </c>
      <c r="C166" t="s">
        <v>16</v>
      </c>
      <c r="D166" t="s">
        <v>320</v>
      </c>
      <c r="F166" t="s">
        <v>329</v>
      </c>
      <c r="G166">
        <f t="shared" si="10"/>
        <v>3083</v>
      </c>
      <c r="H166" t="str">
        <f t="shared" si="11"/>
        <v>`               BS Health Sciences</v>
      </c>
      <c r="I166" t="s">
        <v>532</v>
      </c>
      <c r="J166" t="str">
        <f t="shared" si="12"/>
        <v>&lt;G3P&gt;&lt;G2P&gt;&lt;G1P&gt;`               BS Health Sciences</v>
      </c>
      <c r="S166" s="19" t="s">
        <v>357</v>
      </c>
      <c r="T166" s="13" t="s">
        <v>208</v>
      </c>
      <c r="U166" t="s">
        <v>5</v>
      </c>
      <c r="V166" t="s">
        <v>318</v>
      </c>
      <c r="W166" t="s">
        <v>322</v>
      </c>
      <c r="X166" t="s">
        <v>326</v>
      </c>
      <c r="Y166" s="23" t="str">
        <f t="shared" si="13"/>
        <v>1022+1023+3018+1025+1026+1027+1044+1051+1054+1055+1056+2003+1081+1083+1183+3038+1085+1024+1087+1088+1089+1094+2008+1096+2002+2004+1098+1103+1104+1111+1118+1043+1128+1132+1162+3005+3021+3045+3049+1164+1174+1180+1191+1202+1204+1207+1210+1135+1136+1074+1075+1097+1161+1211+3029+3041+3042+3051+3052+3053+3058+3073+3080+3081+3092+3108+3116+3117</v>
      </c>
      <c r="Z166" s="23" t="str">
        <f t="shared" si="14"/>
        <v>`     BUSINESS COURSES (SUBNET)&lt;Q&gt;</v>
      </c>
    </row>
    <row r="167" spans="1:26" x14ac:dyDescent="0.25">
      <c r="A167" s="6">
        <v>3090</v>
      </c>
      <c r="B167" s="7" t="s">
        <v>206</v>
      </c>
      <c r="C167" t="s">
        <v>16</v>
      </c>
      <c r="D167" t="s">
        <v>320</v>
      </c>
      <c r="F167" t="s">
        <v>329</v>
      </c>
      <c r="G167">
        <f t="shared" si="10"/>
        <v>3090</v>
      </c>
      <c r="H167" t="str">
        <f t="shared" si="11"/>
        <v>`               BS Animal Biology</v>
      </c>
      <c r="I167" t="s">
        <v>532</v>
      </c>
      <c r="J167" t="str">
        <f t="shared" si="12"/>
        <v>&lt;G3P&gt;&lt;G2P&gt;&lt;G1P&gt;`               BS Animal Biology</v>
      </c>
      <c r="S167" s="19" t="s">
        <v>209</v>
      </c>
      <c r="T167" s="11" t="s">
        <v>210</v>
      </c>
      <c r="U167" t="s">
        <v>16</v>
      </c>
      <c r="V167" t="s">
        <v>320</v>
      </c>
      <c r="X167" t="s">
        <v>328</v>
      </c>
      <c r="Y167" s="23" t="str">
        <f t="shared" si="13"/>
        <v>1022+1023+3018</v>
      </c>
      <c r="Z167" s="23" t="str">
        <f t="shared" si="14"/>
        <v>`               BS Accountancy</v>
      </c>
    </row>
    <row r="168" spans="1:26" x14ac:dyDescent="0.25">
      <c r="A168" s="6">
        <v>3093</v>
      </c>
      <c r="B168" s="7" t="s">
        <v>207</v>
      </c>
      <c r="C168" t="s">
        <v>16</v>
      </c>
      <c r="D168" t="s">
        <v>320</v>
      </c>
      <c r="F168" t="s">
        <v>329</v>
      </c>
      <c r="G168">
        <f t="shared" si="10"/>
        <v>3093</v>
      </c>
      <c r="H168" t="str">
        <f t="shared" si="11"/>
        <v>`               BS  MIDWIFERY</v>
      </c>
      <c r="I168" t="s">
        <v>531</v>
      </c>
      <c r="J168" t="str">
        <f t="shared" si="12"/>
        <v>&lt;G4E&gt;&lt;G3P&gt;&lt;G2P&gt;&lt;G1P&gt;`               BS  MIDWIFERY</v>
      </c>
      <c r="S168" s="19">
        <v>1025</v>
      </c>
      <c r="T168" s="11" t="s">
        <v>211</v>
      </c>
      <c r="U168" t="s">
        <v>16</v>
      </c>
      <c r="V168" t="s">
        <v>320</v>
      </c>
      <c r="X168" t="s">
        <v>328</v>
      </c>
      <c r="Y168" s="23">
        <f t="shared" si="13"/>
        <v>1025</v>
      </c>
      <c r="Z168" s="23" t="str">
        <f t="shared" si="14"/>
        <v>`               BSBA Financial Management</v>
      </c>
    </row>
    <row r="169" spans="1:26" x14ac:dyDescent="0.25">
      <c r="A169" s="6" t="s">
        <v>365</v>
      </c>
      <c r="B169" s="8" t="s">
        <v>208</v>
      </c>
      <c r="C169" t="s">
        <v>5</v>
      </c>
      <c r="D169" t="s">
        <v>318</v>
      </c>
      <c r="E169" t="s">
        <v>322</v>
      </c>
      <c r="F169" t="s">
        <v>326</v>
      </c>
      <c r="G169" t="str">
        <f t="shared" si="10"/>
        <v>1022+1023+3018+1025+1026+1027+1044+1051+1054+1055+1056+2003+1081+1083+1183+3038+1085+1024+1087+1088+1089+1094+2008+1096+2002+2004+1098+1103+1104+1111+1118+1043+1128+1132+1162+3005+3021+3045+3049+1164+1174+1180+1191+1202+1204+1207+1210+1135+1136+1074+1075+1097+1161+1211+3029+3041+3042+3051+3052+3053+3058+3073+3080+3081+3092+3108+3116+3117+3125</v>
      </c>
      <c r="H169" t="str">
        <f t="shared" si="11"/>
        <v>`     BUSINESS COURSES (SUBNET)&lt;Q&gt;</v>
      </c>
      <c r="J169" t="str">
        <f t="shared" si="12"/>
        <v>`     BUSINESS COURSES (SUBNET)&lt;Q&gt;</v>
      </c>
      <c r="S169" s="19">
        <v>1026</v>
      </c>
      <c r="T169" s="11" t="s">
        <v>212</v>
      </c>
      <c r="U169" t="s">
        <v>16</v>
      </c>
      <c r="V169" t="s">
        <v>320</v>
      </c>
      <c r="X169" t="s">
        <v>328</v>
      </c>
      <c r="Y169" s="23">
        <f t="shared" si="13"/>
        <v>1026</v>
      </c>
      <c r="Z169" s="23" t="str">
        <f t="shared" si="14"/>
        <v>`               Tourism</v>
      </c>
    </row>
    <row r="170" spans="1:26" x14ac:dyDescent="0.25">
      <c r="A170" s="6" t="s">
        <v>209</v>
      </c>
      <c r="B170" s="7" t="s">
        <v>210</v>
      </c>
      <c r="C170" t="s">
        <v>16</v>
      </c>
      <c r="D170" t="s">
        <v>319</v>
      </c>
      <c r="F170" t="s">
        <v>328</v>
      </c>
      <c r="G170" t="str">
        <f t="shared" si="10"/>
        <v>1022+1023+3018</v>
      </c>
      <c r="H170" t="str">
        <f t="shared" si="11"/>
        <v>`          BS Accountancy</v>
      </c>
      <c r="I170" t="s">
        <v>528</v>
      </c>
      <c r="J170" t="str">
        <f t="shared" si="12"/>
        <v>&lt;G3B&gt;&lt;G2P&gt;&lt;G1P&gt;`          BS Accountancy</v>
      </c>
      <c r="S170" s="19">
        <v>1027</v>
      </c>
      <c r="T170" s="11" t="s">
        <v>213</v>
      </c>
      <c r="U170" t="s">
        <v>16</v>
      </c>
      <c r="V170" t="s">
        <v>320</v>
      </c>
      <c r="X170" t="s">
        <v>328</v>
      </c>
      <c r="Y170" s="23">
        <f t="shared" si="13"/>
        <v>1027</v>
      </c>
      <c r="Z170" s="23" t="str">
        <f t="shared" si="14"/>
        <v>`               BS Tourism Management</v>
      </c>
    </row>
    <row r="171" spans="1:26" x14ac:dyDescent="0.25">
      <c r="A171" s="6">
        <v>1025</v>
      </c>
      <c r="B171" s="7" t="s">
        <v>211</v>
      </c>
      <c r="C171" t="s">
        <v>16</v>
      </c>
      <c r="D171" t="s">
        <v>319</v>
      </c>
      <c r="F171" t="s">
        <v>328</v>
      </c>
      <c r="G171">
        <f t="shared" si="10"/>
        <v>1025</v>
      </c>
      <c r="H171" t="str">
        <f t="shared" si="11"/>
        <v>`          BSBA Financial Management</v>
      </c>
      <c r="I171" t="s">
        <v>527</v>
      </c>
      <c r="J171" t="str">
        <f t="shared" si="12"/>
        <v>&lt;G2P&gt;&lt;G1P&gt;`          BSBA Financial Management</v>
      </c>
      <c r="S171" s="19">
        <v>1044</v>
      </c>
      <c r="T171" s="11" t="s">
        <v>214</v>
      </c>
      <c r="U171" t="s">
        <v>16</v>
      </c>
      <c r="V171" t="s">
        <v>320</v>
      </c>
      <c r="X171" t="s">
        <v>328</v>
      </c>
      <c r="Y171" s="23">
        <f t="shared" si="13"/>
        <v>1044</v>
      </c>
      <c r="Z171" s="23" t="str">
        <f t="shared" si="14"/>
        <v>`               BS Hospitality Management</v>
      </c>
    </row>
    <row r="172" spans="1:26" x14ac:dyDescent="0.25">
      <c r="A172" s="6">
        <v>1026</v>
      </c>
      <c r="B172" s="7" t="s">
        <v>212</v>
      </c>
      <c r="C172" t="s">
        <v>16</v>
      </c>
      <c r="D172" t="s">
        <v>319</v>
      </c>
      <c r="F172" t="s">
        <v>328</v>
      </c>
      <c r="G172">
        <f t="shared" si="10"/>
        <v>1026</v>
      </c>
      <c r="H172" t="str">
        <f t="shared" si="11"/>
        <v>`          Tourism</v>
      </c>
      <c r="I172" t="s">
        <v>527</v>
      </c>
      <c r="J172" t="str">
        <f t="shared" si="12"/>
        <v>&lt;G2P&gt;&lt;G1P&gt;`          Tourism</v>
      </c>
      <c r="S172" s="19">
        <v>1051</v>
      </c>
      <c r="T172" s="11" t="s">
        <v>215</v>
      </c>
      <c r="U172" t="s">
        <v>16</v>
      </c>
      <c r="V172" t="s">
        <v>320</v>
      </c>
      <c r="X172" t="s">
        <v>328</v>
      </c>
      <c r="Y172" s="23">
        <f t="shared" si="13"/>
        <v>1051</v>
      </c>
      <c r="Z172" s="23" t="str">
        <f t="shared" si="14"/>
        <v>`               BSBA Marketing Management</v>
      </c>
    </row>
    <row r="173" spans="1:26" x14ac:dyDescent="0.25">
      <c r="A173" s="6">
        <v>1027</v>
      </c>
      <c r="B173" s="7" t="s">
        <v>213</v>
      </c>
      <c r="C173" t="s">
        <v>16</v>
      </c>
      <c r="D173" t="s">
        <v>319</v>
      </c>
      <c r="F173" t="s">
        <v>328</v>
      </c>
      <c r="G173">
        <f t="shared" si="10"/>
        <v>1027</v>
      </c>
      <c r="H173" t="str">
        <f t="shared" si="11"/>
        <v>`          BS Tourism Management</v>
      </c>
      <c r="I173" t="s">
        <v>527</v>
      </c>
      <c r="J173" t="str">
        <f t="shared" si="12"/>
        <v>&lt;G2P&gt;&lt;G1P&gt;`          BS Tourism Management</v>
      </c>
      <c r="S173" s="19">
        <v>1054</v>
      </c>
      <c r="T173" s="11" t="s">
        <v>216</v>
      </c>
      <c r="U173" t="s">
        <v>16</v>
      </c>
      <c r="V173" t="s">
        <v>320</v>
      </c>
      <c r="X173" t="s">
        <v>328</v>
      </c>
      <c r="Y173" s="23">
        <f t="shared" si="13"/>
        <v>1054</v>
      </c>
      <c r="Z173" s="23" t="str">
        <f t="shared" si="14"/>
        <v>`               Financial Management</v>
      </c>
    </row>
    <row r="174" spans="1:26" x14ac:dyDescent="0.25">
      <c r="A174" s="6">
        <v>1044</v>
      </c>
      <c r="B174" s="7" t="s">
        <v>214</v>
      </c>
      <c r="C174" t="s">
        <v>16</v>
      </c>
      <c r="D174" t="s">
        <v>319</v>
      </c>
      <c r="F174" t="s">
        <v>328</v>
      </c>
      <c r="G174">
        <f t="shared" si="10"/>
        <v>1044</v>
      </c>
      <c r="H174" t="str">
        <f t="shared" si="11"/>
        <v>`          BS Hospitality Management</v>
      </c>
      <c r="I174" t="s">
        <v>527</v>
      </c>
      <c r="J174" t="str">
        <f t="shared" si="12"/>
        <v>&lt;G2P&gt;&lt;G1P&gt;`          BS Hospitality Management</v>
      </c>
      <c r="S174" s="19">
        <v>1055</v>
      </c>
      <c r="T174" s="11" t="s">
        <v>217</v>
      </c>
      <c r="U174" t="s">
        <v>16</v>
      </c>
      <c r="V174" t="s">
        <v>320</v>
      </c>
      <c r="X174" t="s">
        <v>328</v>
      </c>
      <c r="Y174" s="23">
        <f t="shared" si="13"/>
        <v>1055</v>
      </c>
      <c r="Z174" s="23" t="str">
        <f t="shared" si="14"/>
        <v>`               Hospitality Management</v>
      </c>
    </row>
    <row r="175" spans="1:26" x14ac:dyDescent="0.25">
      <c r="A175" s="6">
        <v>1051</v>
      </c>
      <c r="B175" s="7" t="s">
        <v>215</v>
      </c>
      <c r="C175" t="s">
        <v>16</v>
      </c>
      <c r="D175" t="s">
        <v>319</v>
      </c>
      <c r="F175" t="s">
        <v>328</v>
      </c>
      <c r="G175">
        <f t="shared" si="10"/>
        <v>1051</v>
      </c>
      <c r="H175" t="str">
        <f t="shared" si="11"/>
        <v>`          BSBA Marketing Management</v>
      </c>
      <c r="I175" t="s">
        <v>527</v>
      </c>
      <c r="J175" t="str">
        <f t="shared" si="12"/>
        <v>&lt;G2P&gt;&lt;G1P&gt;`          BSBA Marketing Management</v>
      </c>
      <c r="S175" s="19" t="s">
        <v>218</v>
      </c>
      <c r="T175" s="11" t="s">
        <v>219</v>
      </c>
      <c r="U175" t="s">
        <v>16</v>
      </c>
      <c r="V175" t="s">
        <v>320</v>
      </c>
      <c r="X175" t="s">
        <v>328</v>
      </c>
      <c r="Y175" s="23" t="str">
        <f t="shared" si="13"/>
        <v>1056+2003</v>
      </c>
      <c r="Z175" s="23" t="str">
        <f t="shared" si="14"/>
        <v>`               Marketing Management</v>
      </c>
    </row>
    <row r="176" spans="1:26" x14ac:dyDescent="0.25">
      <c r="A176" s="6">
        <v>1054</v>
      </c>
      <c r="B176" s="7" t="s">
        <v>216</v>
      </c>
      <c r="C176" t="s">
        <v>16</v>
      </c>
      <c r="D176" t="s">
        <v>319</v>
      </c>
      <c r="F176" t="s">
        <v>328</v>
      </c>
      <c r="G176">
        <f t="shared" si="10"/>
        <v>1054</v>
      </c>
      <c r="H176" t="str">
        <f t="shared" si="11"/>
        <v>`          Financial Management</v>
      </c>
      <c r="I176" t="s">
        <v>527</v>
      </c>
      <c r="J176" t="str">
        <f t="shared" si="12"/>
        <v>&lt;G2P&gt;&lt;G1P&gt;`          Financial Management</v>
      </c>
      <c r="S176" s="21">
        <v>1081</v>
      </c>
      <c r="T176" s="11" t="s">
        <v>220</v>
      </c>
      <c r="U176" t="s">
        <v>16</v>
      </c>
      <c r="V176" t="s">
        <v>320</v>
      </c>
      <c r="X176" t="s">
        <v>328</v>
      </c>
      <c r="Y176" s="23">
        <f t="shared" si="13"/>
        <v>1081</v>
      </c>
      <c r="Z176" s="23" t="str">
        <f t="shared" si="14"/>
        <v>`               BS Entrepreneurship</v>
      </c>
    </row>
    <row r="177" spans="1:26" x14ac:dyDescent="0.25">
      <c r="A177" s="6">
        <v>1055</v>
      </c>
      <c r="B177" s="7" t="s">
        <v>217</v>
      </c>
      <c r="C177" t="s">
        <v>16</v>
      </c>
      <c r="D177" t="s">
        <v>319</v>
      </c>
      <c r="F177" t="s">
        <v>328</v>
      </c>
      <c r="G177">
        <f t="shared" si="10"/>
        <v>1055</v>
      </c>
      <c r="H177" t="str">
        <f t="shared" si="11"/>
        <v>`          Hospitality Management</v>
      </c>
      <c r="I177" t="s">
        <v>527</v>
      </c>
      <c r="J177" t="str">
        <f t="shared" si="12"/>
        <v>&lt;G2P&gt;&lt;G1P&gt;`          Hospitality Management</v>
      </c>
      <c r="S177" s="19" t="s">
        <v>221</v>
      </c>
      <c r="T177" s="11" t="s">
        <v>222</v>
      </c>
      <c r="U177" t="s">
        <v>16</v>
      </c>
      <c r="V177" t="s">
        <v>320</v>
      </c>
      <c r="X177" t="s">
        <v>328</v>
      </c>
      <c r="Y177" s="23" t="str">
        <f t="shared" si="13"/>
        <v>1083+1183+3038</v>
      </c>
      <c r="Z177" s="23" t="str">
        <f t="shared" si="14"/>
        <v>`               BS Hotel and Restaurant Management</v>
      </c>
    </row>
    <row r="178" spans="1:26" x14ac:dyDescent="0.25">
      <c r="A178" s="6" t="s">
        <v>218</v>
      </c>
      <c r="B178" s="7" t="s">
        <v>219</v>
      </c>
      <c r="C178" t="s">
        <v>16</v>
      </c>
      <c r="D178" t="s">
        <v>319</v>
      </c>
      <c r="F178" t="s">
        <v>328</v>
      </c>
      <c r="G178" t="str">
        <f t="shared" si="10"/>
        <v>1056+2003</v>
      </c>
      <c r="H178" t="str">
        <f t="shared" si="11"/>
        <v>`          Marketing Management</v>
      </c>
      <c r="I178" t="s">
        <v>527</v>
      </c>
      <c r="J178" t="str">
        <f t="shared" si="12"/>
        <v>&lt;G2P&gt;&lt;G1P&gt;`          Marketing Management</v>
      </c>
      <c r="S178" s="19" t="s">
        <v>223</v>
      </c>
      <c r="T178" s="11" t="s">
        <v>224</v>
      </c>
      <c r="U178" t="s">
        <v>16</v>
      </c>
      <c r="V178" t="s">
        <v>320</v>
      </c>
      <c r="X178" t="s">
        <v>328</v>
      </c>
      <c r="Y178" s="23" t="str">
        <f t="shared" si="13"/>
        <v>1085+1024</v>
      </c>
      <c r="Z178" s="23" t="str">
        <f t="shared" si="14"/>
        <v>`               BS Internal Auditing</v>
      </c>
    </row>
    <row r="179" spans="1:26" x14ac:dyDescent="0.25">
      <c r="A179" s="9">
        <v>1081</v>
      </c>
      <c r="B179" s="7" t="s">
        <v>220</v>
      </c>
      <c r="C179" t="s">
        <v>16</v>
      </c>
      <c r="D179" t="s">
        <v>319</v>
      </c>
      <c r="F179" t="s">
        <v>328</v>
      </c>
      <c r="G179">
        <f t="shared" si="10"/>
        <v>1081</v>
      </c>
      <c r="H179" t="str">
        <f t="shared" si="11"/>
        <v>`          BS Entrepreneurship</v>
      </c>
      <c r="I179" t="s">
        <v>527</v>
      </c>
      <c r="J179" t="str">
        <f t="shared" si="12"/>
        <v>&lt;G2P&gt;&lt;G1P&gt;`          BS Entrepreneurship</v>
      </c>
      <c r="S179" s="19">
        <v>1087</v>
      </c>
      <c r="T179" s="11" t="s">
        <v>225</v>
      </c>
      <c r="U179" t="s">
        <v>16</v>
      </c>
      <c r="V179" t="s">
        <v>320</v>
      </c>
      <c r="X179" t="s">
        <v>328</v>
      </c>
      <c r="Y179" s="23">
        <f t="shared" si="13"/>
        <v>1087</v>
      </c>
      <c r="Z179" s="23" t="str">
        <f t="shared" si="14"/>
        <v>`               BS Management</v>
      </c>
    </row>
    <row r="180" spans="1:26" x14ac:dyDescent="0.25">
      <c r="A180" s="6" t="s">
        <v>221</v>
      </c>
      <c r="B180" s="7" t="s">
        <v>222</v>
      </c>
      <c r="C180" t="s">
        <v>16</v>
      </c>
      <c r="D180" t="s">
        <v>319</v>
      </c>
      <c r="F180" t="s">
        <v>328</v>
      </c>
      <c r="G180" t="str">
        <f t="shared" si="10"/>
        <v>1083+1183+3038</v>
      </c>
      <c r="H180" t="str">
        <f t="shared" si="11"/>
        <v>`          BS Hotel and Restaurant Management</v>
      </c>
      <c r="I180" t="s">
        <v>527</v>
      </c>
      <c r="J180" t="str">
        <f t="shared" si="12"/>
        <v>&lt;G2P&gt;&lt;G1P&gt;`          BS Hotel and Restaurant Management</v>
      </c>
      <c r="S180" s="19">
        <v>1088</v>
      </c>
      <c r="T180" s="11" t="s">
        <v>226</v>
      </c>
      <c r="U180" t="s">
        <v>16</v>
      </c>
      <c r="V180" t="s">
        <v>320</v>
      </c>
      <c r="X180" t="s">
        <v>328</v>
      </c>
      <c r="Y180" s="23">
        <f t="shared" si="13"/>
        <v>1088</v>
      </c>
      <c r="Z180" s="23" t="str">
        <f t="shared" si="14"/>
        <v>`               BS Management Accounting</v>
      </c>
    </row>
    <row r="181" spans="1:26" x14ac:dyDescent="0.25">
      <c r="A181" s="6" t="s">
        <v>223</v>
      </c>
      <c r="B181" s="7" t="s">
        <v>224</v>
      </c>
      <c r="C181" t="s">
        <v>16</v>
      </c>
      <c r="D181" t="s">
        <v>319</v>
      </c>
      <c r="F181" t="s">
        <v>328</v>
      </c>
      <c r="G181" t="str">
        <f t="shared" si="10"/>
        <v>1085+1024</v>
      </c>
      <c r="H181" t="str">
        <f t="shared" si="11"/>
        <v>`          BS Internal Auditing</v>
      </c>
      <c r="I181" t="s">
        <v>527</v>
      </c>
      <c r="J181" t="str">
        <f t="shared" si="12"/>
        <v>&lt;G2P&gt;&lt;G1P&gt;`          BS Internal Auditing</v>
      </c>
      <c r="S181" s="19">
        <v>1089</v>
      </c>
      <c r="T181" s="11" t="s">
        <v>227</v>
      </c>
      <c r="U181" t="s">
        <v>16</v>
      </c>
      <c r="V181" t="s">
        <v>320</v>
      </c>
      <c r="X181" t="s">
        <v>328</v>
      </c>
      <c r="Y181" s="23">
        <f t="shared" si="13"/>
        <v>1089</v>
      </c>
      <c r="Z181" s="23" t="str">
        <f t="shared" si="14"/>
        <v>`               BS Management of Financial Institutions</v>
      </c>
    </row>
    <row r="182" spans="1:26" x14ac:dyDescent="0.25">
      <c r="A182" s="6">
        <v>1087</v>
      </c>
      <c r="B182" s="7" t="s">
        <v>225</v>
      </c>
      <c r="C182" t="s">
        <v>16</v>
      </c>
      <c r="D182" t="s">
        <v>319</v>
      </c>
      <c r="F182" t="s">
        <v>328</v>
      </c>
      <c r="G182">
        <f t="shared" si="10"/>
        <v>1087</v>
      </c>
      <c r="H182" t="str">
        <f t="shared" si="11"/>
        <v>`          BS Management</v>
      </c>
      <c r="I182" t="s">
        <v>527</v>
      </c>
      <c r="J182" t="str">
        <f t="shared" si="12"/>
        <v>&lt;G2P&gt;&lt;G1P&gt;`          BS Management</v>
      </c>
      <c r="S182" s="19" t="s">
        <v>228</v>
      </c>
      <c r="T182" s="11" t="s">
        <v>229</v>
      </c>
      <c r="U182" t="s">
        <v>16</v>
      </c>
      <c r="V182" t="s">
        <v>320</v>
      </c>
      <c r="X182" t="s">
        <v>328</v>
      </c>
      <c r="Y182" s="23" t="str">
        <f t="shared" si="13"/>
        <v>1094+2008</v>
      </c>
      <c r="Z182" s="23" t="str">
        <f t="shared" si="14"/>
        <v>`               BS Real Estate Management</v>
      </c>
    </row>
    <row r="183" spans="1:26" x14ac:dyDescent="0.25">
      <c r="A183" s="6">
        <v>1088</v>
      </c>
      <c r="B183" s="7" t="s">
        <v>226</v>
      </c>
      <c r="C183" t="s">
        <v>16</v>
      </c>
      <c r="D183" t="s">
        <v>319</v>
      </c>
      <c r="F183" t="s">
        <v>328</v>
      </c>
      <c r="G183">
        <f t="shared" si="10"/>
        <v>1088</v>
      </c>
      <c r="H183" t="str">
        <f t="shared" si="11"/>
        <v>`          BS Management Accounting</v>
      </c>
      <c r="I183" t="s">
        <v>527</v>
      </c>
      <c r="J183" t="str">
        <f t="shared" si="12"/>
        <v>&lt;G2P&gt;&lt;G1P&gt;`          BS Management Accounting</v>
      </c>
      <c r="S183" s="19" t="s">
        <v>230</v>
      </c>
      <c r="T183" s="11" t="s">
        <v>231</v>
      </c>
      <c r="U183" t="s">
        <v>16</v>
      </c>
      <c r="V183" t="s">
        <v>320</v>
      </c>
      <c r="X183" t="s">
        <v>328</v>
      </c>
      <c r="Y183" s="23" t="str">
        <f t="shared" si="13"/>
        <v>1096+2002+2004</v>
      </c>
      <c r="Z183" s="23" t="str">
        <f t="shared" si="14"/>
        <v>`               BS Accounting Information Systems</v>
      </c>
    </row>
    <row r="184" spans="1:26" x14ac:dyDescent="0.25">
      <c r="A184" s="6">
        <v>1089</v>
      </c>
      <c r="B184" s="7" t="s">
        <v>227</v>
      </c>
      <c r="C184" t="s">
        <v>16</v>
      </c>
      <c r="D184" t="s">
        <v>319</v>
      </c>
      <c r="F184" t="s">
        <v>328</v>
      </c>
      <c r="G184">
        <f t="shared" si="10"/>
        <v>1089</v>
      </c>
      <c r="H184" t="str">
        <f t="shared" si="11"/>
        <v>`          BS Management of Financial Institutions</v>
      </c>
      <c r="I184" t="s">
        <v>527</v>
      </c>
      <c r="J184" t="str">
        <f t="shared" si="12"/>
        <v>&lt;G2P&gt;&lt;G1P&gt;`          BS Management of Financial Institutions</v>
      </c>
      <c r="S184" s="19">
        <v>1098</v>
      </c>
      <c r="T184" s="11" t="s">
        <v>232</v>
      </c>
      <c r="U184" t="s">
        <v>16</v>
      </c>
      <c r="V184" t="s">
        <v>320</v>
      </c>
      <c r="X184" t="s">
        <v>328</v>
      </c>
      <c r="Y184" s="23">
        <f t="shared" si="13"/>
        <v>1098</v>
      </c>
      <c r="Z184" s="23" t="str">
        <f t="shared" si="14"/>
        <v>`               Business Management</v>
      </c>
    </row>
    <row r="185" spans="1:26" x14ac:dyDescent="0.25">
      <c r="A185" s="6" t="s">
        <v>228</v>
      </c>
      <c r="B185" s="7" t="s">
        <v>229</v>
      </c>
      <c r="C185" t="s">
        <v>16</v>
      </c>
      <c r="D185" t="s">
        <v>319</v>
      </c>
      <c r="F185" t="s">
        <v>328</v>
      </c>
      <c r="G185" t="str">
        <f t="shared" si="10"/>
        <v>1094+2008</v>
      </c>
      <c r="H185" t="str">
        <f t="shared" si="11"/>
        <v>`          BS Real Estate Management</v>
      </c>
      <c r="I185" t="s">
        <v>527</v>
      </c>
      <c r="J185" t="str">
        <f t="shared" si="12"/>
        <v>&lt;G2P&gt;&lt;G1P&gt;`          BS Real Estate Management</v>
      </c>
      <c r="S185" s="19">
        <v>1103</v>
      </c>
      <c r="T185" s="11" t="s">
        <v>233</v>
      </c>
      <c r="U185" t="s">
        <v>16</v>
      </c>
      <c r="V185" t="s">
        <v>320</v>
      </c>
      <c r="X185" t="s">
        <v>328</v>
      </c>
      <c r="Y185" s="23">
        <f t="shared" si="13"/>
        <v>1103</v>
      </c>
      <c r="Z185" s="23" t="str">
        <f t="shared" si="14"/>
        <v>`               College of Tourism and Hospitality Management</v>
      </c>
    </row>
    <row r="186" spans="1:26" x14ac:dyDescent="0.25">
      <c r="A186" s="6" t="s">
        <v>230</v>
      </c>
      <c r="B186" s="7" t="s">
        <v>231</v>
      </c>
      <c r="C186" t="s">
        <v>16</v>
      </c>
      <c r="D186" t="s">
        <v>319</v>
      </c>
      <c r="F186" t="s">
        <v>328</v>
      </c>
      <c r="G186" t="str">
        <f t="shared" si="10"/>
        <v>1096+2002+2004</v>
      </c>
      <c r="H186" t="str">
        <f t="shared" si="11"/>
        <v>`          BS Accounting Information Systems</v>
      </c>
      <c r="I186" t="s">
        <v>527</v>
      </c>
      <c r="J186" t="str">
        <f t="shared" si="12"/>
        <v>&lt;G2P&gt;&lt;G1P&gt;`          BS Accounting Information Systems</v>
      </c>
      <c r="S186" s="19">
        <v>1104</v>
      </c>
      <c r="T186" s="11" t="s">
        <v>234</v>
      </c>
      <c r="U186" t="s">
        <v>16</v>
      </c>
      <c r="V186" t="s">
        <v>320</v>
      </c>
      <c r="X186" t="s">
        <v>328</v>
      </c>
      <c r="Y186" s="23">
        <f t="shared" si="13"/>
        <v>1104</v>
      </c>
      <c r="Z186" s="23" t="str">
        <f t="shared" si="14"/>
        <v>`               Culinary Entrepreneur</v>
      </c>
    </row>
    <row r="187" spans="1:26" x14ac:dyDescent="0.25">
      <c r="A187" s="6">
        <v>1098</v>
      </c>
      <c r="B187" s="7" t="s">
        <v>232</v>
      </c>
      <c r="C187" t="s">
        <v>16</v>
      </c>
      <c r="D187" t="s">
        <v>319</v>
      </c>
      <c r="F187" t="s">
        <v>328</v>
      </c>
      <c r="G187">
        <f t="shared" si="10"/>
        <v>1098</v>
      </c>
      <c r="H187" t="str">
        <f t="shared" si="11"/>
        <v>`          Business Management</v>
      </c>
      <c r="I187" t="s">
        <v>527</v>
      </c>
      <c r="J187" t="str">
        <f t="shared" si="12"/>
        <v>&lt;G2P&gt;&lt;G1P&gt;`          Business Management</v>
      </c>
      <c r="S187" s="19">
        <v>1111</v>
      </c>
      <c r="T187" s="11" t="s">
        <v>235</v>
      </c>
      <c r="U187" t="s">
        <v>16</v>
      </c>
      <c r="V187" t="s">
        <v>320</v>
      </c>
      <c r="X187" t="s">
        <v>328</v>
      </c>
      <c r="Y187" s="23">
        <f t="shared" si="13"/>
        <v>1111</v>
      </c>
      <c r="Z187" s="23" t="str">
        <f t="shared" si="14"/>
        <v>`               Institute of Tourism and Hotel Management</v>
      </c>
    </row>
    <row r="188" spans="1:26" x14ac:dyDescent="0.25">
      <c r="A188" s="6">
        <v>1103</v>
      </c>
      <c r="B188" s="7" t="s">
        <v>233</v>
      </c>
      <c r="C188" t="s">
        <v>16</v>
      </c>
      <c r="D188" t="s">
        <v>319</v>
      </c>
      <c r="F188" t="s">
        <v>328</v>
      </c>
      <c r="G188">
        <f t="shared" si="10"/>
        <v>1103</v>
      </c>
      <c r="H188" t="str">
        <f t="shared" si="11"/>
        <v>`          College of Tourism and Hospitality Management</v>
      </c>
      <c r="I188" t="s">
        <v>527</v>
      </c>
      <c r="J188" t="str">
        <f t="shared" si="12"/>
        <v>&lt;G2P&gt;&lt;G1P&gt;`          College of Tourism and Hospitality Management</v>
      </c>
      <c r="S188" s="19">
        <v>1118</v>
      </c>
      <c r="T188" s="11" t="s">
        <v>236</v>
      </c>
      <c r="U188" t="s">
        <v>16</v>
      </c>
      <c r="V188" t="s">
        <v>320</v>
      </c>
      <c r="X188" t="s">
        <v>328</v>
      </c>
      <c r="Y188" s="23">
        <f t="shared" si="13"/>
        <v>1118</v>
      </c>
      <c r="Z188" s="23" t="str">
        <f t="shared" si="14"/>
        <v>`               Tourism Management</v>
      </c>
    </row>
    <row r="189" spans="1:26" x14ac:dyDescent="0.25">
      <c r="A189" s="6">
        <v>1104</v>
      </c>
      <c r="B189" s="7" t="s">
        <v>234</v>
      </c>
      <c r="C189" t="s">
        <v>16</v>
      </c>
      <c r="D189" t="s">
        <v>319</v>
      </c>
      <c r="F189" t="s">
        <v>328</v>
      </c>
      <c r="G189">
        <f t="shared" si="10"/>
        <v>1104</v>
      </c>
      <c r="H189" t="str">
        <f t="shared" si="11"/>
        <v>`          Culinary Entrepreneur</v>
      </c>
      <c r="I189" t="s">
        <v>527</v>
      </c>
      <c r="J189" t="str">
        <f t="shared" si="12"/>
        <v>&lt;G2P&gt;&lt;G1P&gt;`          Culinary Entrepreneur</v>
      </c>
      <c r="S189" s="20">
        <v>1043</v>
      </c>
      <c r="T189" s="11" t="s">
        <v>237</v>
      </c>
      <c r="U189" t="s">
        <v>16</v>
      </c>
      <c r="V189" t="s">
        <v>320</v>
      </c>
      <c r="X189" t="s">
        <v>328</v>
      </c>
      <c r="Y189" s="23">
        <f t="shared" si="13"/>
        <v>1043</v>
      </c>
      <c r="Z189" s="23" t="str">
        <f t="shared" si="14"/>
        <v>`               BS Customs Administration</v>
      </c>
    </row>
    <row r="190" spans="1:26" x14ac:dyDescent="0.25">
      <c r="A190" s="6">
        <v>1111</v>
      </c>
      <c r="B190" s="7" t="s">
        <v>235</v>
      </c>
      <c r="C190" t="s">
        <v>16</v>
      </c>
      <c r="D190" t="s">
        <v>319</v>
      </c>
      <c r="F190" t="s">
        <v>328</v>
      </c>
      <c r="G190">
        <f t="shared" si="10"/>
        <v>1111</v>
      </c>
      <c r="H190" t="str">
        <f t="shared" si="11"/>
        <v>`          Institute of Tourism and Hotel Management</v>
      </c>
      <c r="I190" t="s">
        <v>527</v>
      </c>
      <c r="J190" t="str">
        <f t="shared" si="12"/>
        <v>&lt;G2P&gt;&lt;G1P&gt;`          Institute of Tourism and Hotel Management</v>
      </c>
      <c r="S190" s="20">
        <v>1128</v>
      </c>
      <c r="T190" s="11" t="s">
        <v>238</v>
      </c>
      <c r="U190" t="s">
        <v>16</v>
      </c>
      <c r="V190" t="s">
        <v>320</v>
      </c>
      <c r="X190" t="s">
        <v>328</v>
      </c>
      <c r="Y190" s="23">
        <f t="shared" si="13"/>
        <v>1128</v>
      </c>
      <c r="Z190" s="23" t="str">
        <f t="shared" si="14"/>
        <v>`               AB Management Economics</v>
      </c>
    </row>
    <row r="191" spans="1:26" x14ac:dyDescent="0.25">
      <c r="A191" s="6">
        <v>1118</v>
      </c>
      <c r="B191" s="7" t="s">
        <v>236</v>
      </c>
      <c r="C191" t="s">
        <v>16</v>
      </c>
      <c r="D191" t="s">
        <v>319</v>
      </c>
      <c r="F191" t="s">
        <v>328</v>
      </c>
      <c r="G191">
        <f t="shared" si="10"/>
        <v>1118</v>
      </c>
      <c r="H191" t="str">
        <f t="shared" si="11"/>
        <v>`          Tourism Management</v>
      </c>
      <c r="I191" t="s">
        <v>527</v>
      </c>
      <c r="J191" t="str">
        <f t="shared" si="12"/>
        <v>&lt;G2P&gt;&lt;G1P&gt;`          Tourism Management</v>
      </c>
      <c r="S191" s="20">
        <v>1132</v>
      </c>
      <c r="T191" s="11" t="s">
        <v>239</v>
      </c>
      <c r="U191" t="s">
        <v>16</v>
      </c>
      <c r="V191" t="s">
        <v>320</v>
      </c>
      <c r="X191" t="s">
        <v>328</v>
      </c>
      <c r="Y191" s="23">
        <f t="shared" si="13"/>
        <v>1132</v>
      </c>
      <c r="Z191" s="23" t="str">
        <f t="shared" si="14"/>
        <v>`               Applied Corporate Management</v>
      </c>
    </row>
    <row r="192" spans="1:26" x14ac:dyDescent="0.25">
      <c r="A192" s="4">
        <v>1043</v>
      </c>
      <c r="B192" s="7" t="s">
        <v>237</v>
      </c>
      <c r="C192" t="s">
        <v>16</v>
      </c>
      <c r="D192" t="s">
        <v>319</v>
      </c>
      <c r="F192" t="s">
        <v>328</v>
      </c>
      <c r="G192">
        <f t="shared" si="10"/>
        <v>1043</v>
      </c>
      <c r="H192" t="str">
        <f t="shared" si="11"/>
        <v>`          BS Customs Administration</v>
      </c>
      <c r="I192" t="s">
        <v>527</v>
      </c>
      <c r="J192" t="str">
        <f t="shared" si="12"/>
        <v>&lt;G2P&gt;&lt;G1P&gt;`          BS Customs Administration</v>
      </c>
      <c r="S192" s="20" t="s">
        <v>240</v>
      </c>
      <c r="T192" s="11" t="s">
        <v>241</v>
      </c>
      <c r="U192" t="s">
        <v>16</v>
      </c>
      <c r="V192" t="s">
        <v>320</v>
      </c>
      <c r="X192" t="s">
        <v>328</v>
      </c>
      <c r="Y192" s="23" t="str">
        <f t="shared" si="13"/>
        <v>1162+3005+3021+3045+3049</v>
      </c>
      <c r="Z192" s="23" t="str">
        <f t="shared" si="14"/>
        <v>`               BS Economics</v>
      </c>
    </row>
    <row r="193" spans="1:26" x14ac:dyDescent="0.25">
      <c r="A193" s="4">
        <v>1128</v>
      </c>
      <c r="B193" s="7" t="s">
        <v>238</v>
      </c>
      <c r="C193" t="s">
        <v>16</v>
      </c>
      <c r="D193" t="s">
        <v>319</v>
      </c>
      <c r="F193" t="s">
        <v>328</v>
      </c>
      <c r="G193">
        <f t="shared" si="10"/>
        <v>1128</v>
      </c>
      <c r="H193" t="str">
        <f t="shared" si="11"/>
        <v>`          AB Management Economics</v>
      </c>
      <c r="I193" t="s">
        <v>527</v>
      </c>
      <c r="J193" t="str">
        <f t="shared" si="12"/>
        <v>&lt;G2P&gt;&lt;G1P&gt;`          AB Management Economics</v>
      </c>
      <c r="S193" s="20">
        <v>1164</v>
      </c>
      <c r="T193" s="11" t="s">
        <v>242</v>
      </c>
      <c r="U193" t="s">
        <v>16</v>
      </c>
      <c r="V193" t="s">
        <v>320</v>
      </c>
      <c r="X193" t="s">
        <v>328</v>
      </c>
      <c r="Y193" s="23">
        <f t="shared" si="13"/>
        <v>1164</v>
      </c>
      <c r="Z193" s="23" t="str">
        <f t="shared" si="14"/>
        <v>`               BS Communications Technology Management</v>
      </c>
    </row>
    <row r="194" spans="1:26" x14ac:dyDescent="0.25">
      <c r="A194" s="4">
        <v>1132</v>
      </c>
      <c r="B194" s="7" t="s">
        <v>239</v>
      </c>
      <c r="C194" t="s">
        <v>16</v>
      </c>
      <c r="D194" t="s">
        <v>319</v>
      </c>
      <c r="F194" t="s">
        <v>328</v>
      </c>
      <c r="G194">
        <f t="shared" ref="G194:G262" si="15">IF(A194="","",A194)</f>
        <v>1132</v>
      </c>
      <c r="H194" t="str">
        <f t="shared" ref="H194:H262" si="16">_xlfn.CONCAT(D194,SUBSTITUTE(B194,"""","`"""),E194)</f>
        <v>`          Applied Corporate Management</v>
      </c>
      <c r="I194" t="s">
        <v>527</v>
      </c>
      <c r="J194" t="str">
        <f t="shared" ref="J194:J257" si="17">_xlfn.CONCAT(I194,H194)</f>
        <v>&lt;G2P&gt;&lt;G1P&gt;`          Applied Corporate Management</v>
      </c>
      <c r="S194" s="20">
        <v>1174</v>
      </c>
      <c r="T194" s="11" t="s">
        <v>243</v>
      </c>
      <c r="U194" t="s">
        <v>16</v>
      </c>
      <c r="V194" t="s">
        <v>320</v>
      </c>
      <c r="X194" t="s">
        <v>328</v>
      </c>
      <c r="Y194" s="23">
        <f t="shared" si="13"/>
        <v>1174</v>
      </c>
      <c r="Z194" s="23" t="str">
        <f t="shared" si="14"/>
        <v>`               BSBA Human Resources Development Management</v>
      </c>
    </row>
    <row r="195" spans="1:26" x14ac:dyDescent="0.25">
      <c r="A195" s="4" t="s">
        <v>240</v>
      </c>
      <c r="B195" s="7" t="s">
        <v>241</v>
      </c>
      <c r="C195" t="s">
        <v>16</v>
      </c>
      <c r="D195" t="s">
        <v>319</v>
      </c>
      <c r="F195" t="s">
        <v>328</v>
      </c>
      <c r="G195" t="str">
        <f t="shared" si="15"/>
        <v>1162+3005+3021+3045+3049</v>
      </c>
      <c r="H195" t="str">
        <f t="shared" si="16"/>
        <v>`          BS Economics</v>
      </c>
      <c r="I195" t="s">
        <v>527</v>
      </c>
      <c r="J195" t="str">
        <f t="shared" si="17"/>
        <v>&lt;G2P&gt;&lt;G1P&gt;`          BS Economics</v>
      </c>
      <c r="S195" s="20">
        <v>1180</v>
      </c>
      <c r="T195" s="11" t="s">
        <v>244</v>
      </c>
      <c r="U195" t="s">
        <v>16</v>
      </c>
      <c r="V195" t="s">
        <v>320</v>
      </c>
      <c r="X195" t="s">
        <v>328</v>
      </c>
      <c r="Y195" s="23">
        <f t="shared" ref="Y195:Y258" si="18">IF(S195="","",S195)</f>
        <v>1180</v>
      </c>
      <c r="Z195" s="23" t="str">
        <f t="shared" ref="Z195:Z258" si="19">V195&amp;T195&amp;W195</f>
        <v>`               BS Restaurant Enterpreneurship</v>
      </c>
    </row>
    <row r="196" spans="1:26" x14ac:dyDescent="0.25">
      <c r="A196" s="4">
        <v>1164</v>
      </c>
      <c r="B196" s="7" t="s">
        <v>242</v>
      </c>
      <c r="C196" t="s">
        <v>16</v>
      </c>
      <c r="D196" t="s">
        <v>319</v>
      </c>
      <c r="F196" t="s">
        <v>328</v>
      </c>
      <c r="G196">
        <f t="shared" si="15"/>
        <v>1164</v>
      </c>
      <c r="H196" t="str">
        <f t="shared" si="16"/>
        <v>`          BS Communications Technology Management</v>
      </c>
      <c r="I196" t="s">
        <v>527</v>
      </c>
      <c r="J196" t="str">
        <f t="shared" si="17"/>
        <v>&lt;G2P&gt;&lt;G1P&gt;`          BS Communications Technology Management</v>
      </c>
      <c r="S196" s="19">
        <v>1191</v>
      </c>
      <c r="T196" s="11" t="s">
        <v>245</v>
      </c>
      <c r="U196" t="s">
        <v>16</v>
      </c>
      <c r="V196" t="s">
        <v>320</v>
      </c>
      <c r="X196" t="s">
        <v>328</v>
      </c>
      <c r="Y196" s="23">
        <f t="shared" si="18"/>
        <v>1191</v>
      </c>
      <c r="Z196" s="23" t="str">
        <f t="shared" si="19"/>
        <v>`               BS Marketing</v>
      </c>
    </row>
    <row r="197" spans="1:26" x14ac:dyDescent="0.25">
      <c r="A197" s="4">
        <v>1174</v>
      </c>
      <c r="B197" s="7" t="s">
        <v>243</v>
      </c>
      <c r="C197" t="s">
        <v>16</v>
      </c>
      <c r="D197" t="s">
        <v>319</v>
      </c>
      <c r="F197" t="s">
        <v>328</v>
      </c>
      <c r="G197">
        <f t="shared" si="15"/>
        <v>1174</v>
      </c>
      <c r="H197" t="str">
        <f t="shared" si="16"/>
        <v>`          BSBA Human Resources Development Management</v>
      </c>
      <c r="I197" t="s">
        <v>527</v>
      </c>
      <c r="J197" t="str">
        <f t="shared" si="17"/>
        <v>&lt;G2P&gt;&lt;G1P&gt;`          BSBA Human Resources Development Management</v>
      </c>
      <c r="S197" s="19">
        <v>1202</v>
      </c>
      <c r="T197" s="11" t="s">
        <v>246</v>
      </c>
      <c r="U197" t="s">
        <v>16</v>
      </c>
      <c r="V197" t="s">
        <v>320</v>
      </c>
      <c r="X197" t="s">
        <v>328</v>
      </c>
      <c r="Y197" s="23">
        <f t="shared" si="18"/>
        <v>1202</v>
      </c>
      <c r="Z197" s="23" t="str">
        <f t="shared" si="19"/>
        <v>`               BS Management Information Systems</v>
      </c>
    </row>
    <row r="198" spans="1:26" x14ac:dyDescent="0.25">
      <c r="A198" s="4">
        <v>1180</v>
      </c>
      <c r="B198" s="7" t="s">
        <v>244</v>
      </c>
      <c r="C198" t="s">
        <v>16</v>
      </c>
      <c r="D198" t="s">
        <v>319</v>
      </c>
      <c r="F198" t="s">
        <v>328</v>
      </c>
      <c r="G198">
        <f t="shared" si="15"/>
        <v>1180</v>
      </c>
      <c r="H198" t="str">
        <f t="shared" si="16"/>
        <v>`          BS Restaurant Enterpreneurship</v>
      </c>
      <c r="I198" t="s">
        <v>527</v>
      </c>
      <c r="J198" t="str">
        <f t="shared" si="17"/>
        <v>&lt;G2P&gt;&lt;G1P&gt;`          BS Restaurant Enterpreneurship</v>
      </c>
      <c r="S198" s="19">
        <v>1204</v>
      </c>
      <c r="T198" s="11" t="s">
        <v>247</v>
      </c>
      <c r="U198" t="s">
        <v>16</v>
      </c>
      <c r="V198" t="s">
        <v>320</v>
      </c>
      <c r="X198" t="s">
        <v>328</v>
      </c>
      <c r="Y198" s="23">
        <f t="shared" si="18"/>
        <v>1204</v>
      </c>
      <c r="Z198" s="23" t="str">
        <f t="shared" si="19"/>
        <v>`               BS Business</v>
      </c>
    </row>
    <row r="199" spans="1:26" x14ac:dyDescent="0.25">
      <c r="A199" s="6">
        <v>1191</v>
      </c>
      <c r="B199" s="7" t="s">
        <v>245</v>
      </c>
      <c r="C199" t="s">
        <v>16</v>
      </c>
      <c r="D199" t="s">
        <v>319</v>
      </c>
      <c r="F199" t="s">
        <v>328</v>
      </c>
      <c r="G199">
        <f t="shared" si="15"/>
        <v>1191</v>
      </c>
      <c r="H199" t="str">
        <f t="shared" si="16"/>
        <v>`          BS Marketing</v>
      </c>
      <c r="I199" t="s">
        <v>527</v>
      </c>
      <c r="J199" t="str">
        <f t="shared" si="17"/>
        <v>&lt;G2P&gt;&lt;G1P&gt;`          BS Marketing</v>
      </c>
      <c r="S199" s="19">
        <v>1207</v>
      </c>
      <c r="T199" s="11" t="s">
        <v>248</v>
      </c>
      <c r="U199" t="s">
        <v>16</v>
      </c>
      <c r="V199" t="s">
        <v>320</v>
      </c>
      <c r="X199" t="s">
        <v>328</v>
      </c>
      <c r="Y199" s="23">
        <f t="shared" si="18"/>
        <v>1207</v>
      </c>
      <c r="Z199" s="23" t="str">
        <f t="shared" si="19"/>
        <v>`               College of Business and Accountancy</v>
      </c>
    </row>
    <row r="200" spans="1:26" x14ac:dyDescent="0.25">
      <c r="A200" s="6">
        <v>1202</v>
      </c>
      <c r="B200" s="7" t="s">
        <v>246</v>
      </c>
      <c r="C200" t="s">
        <v>16</v>
      </c>
      <c r="D200" t="s">
        <v>319</v>
      </c>
      <c r="F200" t="s">
        <v>328</v>
      </c>
      <c r="G200">
        <f t="shared" si="15"/>
        <v>1202</v>
      </c>
      <c r="H200" t="str">
        <f t="shared" si="16"/>
        <v>`          BS Management Information Systems</v>
      </c>
      <c r="I200" t="s">
        <v>527</v>
      </c>
      <c r="J200" t="str">
        <f t="shared" si="17"/>
        <v>&lt;G2P&gt;&lt;G1P&gt;`          BS Management Information Systems</v>
      </c>
      <c r="S200" s="19">
        <v>1210</v>
      </c>
      <c r="T200" s="11" t="s">
        <v>249</v>
      </c>
      <c r="U200" t="s">
        <v>16</v>
      </c>
      <c r="V200" t="s">
        <v>320</v>
      </c>
      <c r="X200" t="s">
        <v>328</v>
      </c>
      <c r="Y200" s="23">
        <f t="shared" si="18"/>
        <v>1210</v>
      </c>
      <c r="Z200" s="23" t="str">
        <f t="shared" si="19"/>
        <v>`               BS Fish Processing</v>
      </c>
    </row>
    <row r="201" spans="1:26" x14ac:dyDescent="0.25">
      <c r="A201" s="6">
        <v>1204</v>
      </c>
      <c r="B201" s="7" t="s">
        <v>247</v>
      </c>
      <c r="C201" t="s">
        <v>16</v>
      </c>
      <c r="D201" t="s">
        <v>319</v>
      </c>
      <c r="F201" t="s">
        <v>328</v>
      </c>
      <c r="G201">
        <f t="shared" si="15"/>
        <v>1204</v>
      </c>
      <c r="H201" t="str">
        <f t="shared" si="16"/>
        <v>`          BS Business</v>
      </c>
      <c r="I201" t="s">
        <v>527</v>
      </c>
      <c r="J201" t="str">
        <f t="shared" si="17"/>
        <v>&lt;G2P&gt;&lt;G1P&gt;`          BS Business</v>
      </c>
      <c r="S201" s="19">
        <v>1135</v>
      </c>
      <c r="T201" s="11" t="s">
        <v>250</v>
      </c>
      <c r="U201" t="s">
        <v>16</v>
      </c>
      <c r="V201" t="s">
        <v>320</v>
      </c>
      <c r="X201" t="s">
        <v>328</v>
      </c>
      <c r="Y201" s="23">
        <f t="shared" si="18"/>
        <v>1135</v>
      </c>
      <c r="Z201" s="23" t="str">
        <f t="shared" si="19"/>
        <v>`               Bachelor in Library and Information Science</v>
      </c>
    </row>
    <row r="202" spans="1:26" x14ac:dyDescent="0.25">
      <c r="A202" s="6">
        <v>1207</v>
      </c>
      <c r="B202" s="7" t="s">
        <v>248</v>
      </c>
      <c r="C202" t="s">
        <v>16</v>
      </c>
      <c r="D202" t="s">
        <v>319</v>
      </c>
      <c r="F202" t="s">
        <v>328</v>
      </c>
      <c r="G202">
        <f t="shared" si="15"/>
        <v>1207</v>
      </c>
      <c r="H202" t="str">
        <f t="shared" si="16"/>
        <v>`          College of Business and Accountancy</v>
      </c>
      <c r="I202" t="s">
        <v>527</v>
      </c>
      <c r="J202" t="str">
        <f t="shared" si="17"/>
        <v>&lt;G2P&gt;&lt;G1P&gt;`          College of Business and Accountancy</v>
      </c>
      <c r="S202" s="19">
        <v>1136</v>
      </c>
      <c r="T202" s="11" t="s">
        <v>251</v>
      </c>
      <c r="U202" t="s">
        <v>16</v>
      </c>
      <c r="V202" t="s">
        <v>320</v>
      </c>
      <c r="X202" t="s">
        <v>328</v>
      </c>
      <c r="Y202" s="23">
        <f t="shared" si="18"/>
        <v>1136</v>
      </c>
      <c r="Z202" s="23" t="str">
        <f t="shared" si="19"/>
        <v>`               Bachelor in Public Administration</v>
      </c>
    </row>
    <row r="203" spans="1:26" x14ac:dyDescent="0.25">
      <c r="A203" s="6">
        <v>1210</v>
      </c>
      <c r="B203" s="7" t="s">
        <v>249</v>
      </c>
      <c r="C203" t="s">
        <v>16</v>
      </c>
      <c r="D203" t="s">
        <v>319</v>
      </c>
      <c r="F203" t="s">
        <v>328</v>
      </c>
      <c r="G203">
        <f t="shared" si="15"/>
        <v>1210</v>
      </c>
      <c r="H203" t="str">
        <f t="shared" si="16"/>
        <v>`          BS Fish Processing</v>
      </c>
      <c r="I203" t="s">
        <v>527</v>
      </c>
      <c r="J203" t="str">
        <f t="shared" si="17"/>
        <v>&lt;G2P&gt;&lt;G1P&gt;`          BS Fish Processing</v>
      </c>
      <c r="S203" s="20" t="s">
        <v>252</v>
      </c>
      <c r="T203" s="11" t="s">
        <v>253</v>
      </c>
      <c r="U203" t="s">
        <v>16</v>
      </c>
      <c r="V203" t="s">
        <v>320</v>
      </c>
      <c r="X203" t="s">
        <v>328</v>
      </c>
      <c r="Y203" s="23" t="str">
        <f t="shared" si="18"/>
        <v>1074+1075+1097+1161+1211</v>
      </c>
      <c r="Z203" s="23" t="str">
        <f t="shared" si="19"/>
        <v>`               BS Business Administration</v>
      </c>
    </row>
    <row r="204" spans="1:26" x14ac:dyDescent="0.25">
      <c r="A204" s="6">
        <v>1135</v>
      </c>
      <c r="B204" s="7" t="s">
        <v>250</v>
      </c>
      <c r="C204" t="s">
        <v>16</v>
      </c>
      <c r="D204" t="s">
        <v>319</v>
      </c>
      <c r="F204" t="s">
        <v>328</v>
      </c>
      <c r="G204">
        <f t="shared" si="15"/>
        <v>1135</v>
      </c>
      <c r="H204" t="str">
        <f t="shared" si="16"/>
        <v>`          Bachelor in Library and Information Science</v>
      </c>
      <c r="I204" t="s">
        <v>527</v>
      </c>
      <c r="J204" t="str">
        <f t="shared" si="17"/>
        <v>&lt;G2P&gt;&lt;G1P&gt;`          Bachelor in Library and Information Science</v>
      </c>
      <c r="S204" s="19">
        <v>3029</v>
      </c>
      <c r="T204" s="11" t="s">
        <v>254</v>
      </c>
      <c r="U204" t="s">
        <v>16</v>
      </c>
      <c r="V204" t="s">
        <v>320</v>
      </c>
      <c r="X204" t="s">
        <v>328</v>
      </c>
      <c r="Y204" s="23">
        <f t="shared" si="18"/>
        <v>3029</v>
      </c>
      <c r="Z204" s="23" t="str">
        <f t="shared" si="19"/>
        <v>`               BS Business Accountancy</v>
      </c>
    </row>
    <row r="205" spans="1:26" x14ac:dyDescent="0.25">
      <c r="A205" s="6">
        <v>1136</v>
      </c>
      <c r="B205" s="7" t="s">
        <v>251</v>
      </c>
      <c r="C205" t="s">
        <v>16</v>
      </c>
      <c r="D205" t="s">
        <v>319</v>
      </c>
      <c r="F205" t="s">
        <v>328</v>
      </c>
      <c r="G205">
        <f t="shared" si="15"/>
        <v>1136</v>
      </c>
      <c r="H205" t="str">
        <f t="shared" si="16"/>
        <v>`          Bachelor in Public Administration</v>
      </c>
      <c r="I205" t="s">
        <v>527</v>
      </c>
      <c r="J205" t="str">
        <f t="shared" si="17"/>
        <v>&lt;G2P&gt;&lt;G1P&gt;`          Bachelor in Public Administration</v>
      </c>
      <c r="S205" s="19">
        <v>3041</v>
      </c>
      <c r="T205" s="11" t="s">
        <v>255</v>
      </c>
      <c r="U205" t="s">
        <v>16</v>
      </c>
      <c r="V205" t="s">
        <v>320</v>
      </c>
      <c r="X205" t="s">
        <v>328</v>
      </c>
      <c r="Y205" s="23">
        <f t="shared" si="18"/>
        <v>3041</v>
      </c>
      <c r="Z205" s="23" t="str">
        <f t="shared" si="19"/>
        <v>`               BS Business Economics</v>
      </c>
    </row>
    <row r="206" spans="1:26" x14ac:dyDescent="0.25">
      <c r="A206" s="4" t="s">
        <v>252</v>
      </c>
      <c r="B206" s="7" t="s">
        <v>253</v>
      </c>
      <c r="C206" t="s">
        <v>16</v>
      </c>
      <c r="D206" t="s">
        <v>319</v>
      </c>
      <c r="F206" t="s">
        <v>328</v>
      </c>
      <c r="G206" t="str">
        <f t="shared" si="15"/>
        <v>1074+1075+1097+1161+1211</v>
      </c>
      <c r="H206" t="str">
        <f t="shared" si="16"/>
        <v>`          BS Business Administration</v>
      </c>
      <c r="I206" t="s">
        <v>527</v>
      </c>
      <c r="J206" t="str">
        <f t="shared" si="17"/>
        <v>&lt;G2P&gt;&lt;G1P&gt;`          BS Business Administration</v>
      </c>
      <c r="S206" s="19">
        <v>3042</v>
      </c>
      <c r="T206" s="11" t="s">
        <v>256</v>
      </c>
      <c r="U206" t="s">
        <v>16</v>
      </c>
      <c r="V206" t="s">
        <v>320</v>
      </c>
      <c r="X206" t="s">
        <v>328</v>
      </c>
      <c r="Y206" s="23">
        <f t="shared" si="18"/>
        <v>3042</v>
      </c>
      <c r="Z206" s="23" t="str">
        <f t="shared" si="19"/>
        <v>`               BS Business Management</v>
      </c>
    </row>
    <row r="207" spans="1:26" x14ac:dyDescent="0.25">
      <c r="A207" s="6">
        <v>3029</v>
      </c>
      <c r="B207" s="7" t="s">
        <v>254</v>
      </c>
      <c r="C207" t="s">
        <v>16</v>
      </c>
      <c r="D207" t="s">
        <v>319</v>
      </c>
      <c r="F207" t="s">
        <v>328</v>
      </c>
      <c r="G207">
        <f t="shared" si="15"/>
        <v>3029</v>
      </c>
      <c r="H207" t="str">
        <f t="shared" si="16"/>
        <v>`          BS Business Accountancy</v>
      </c>
      <c r="I207" t="s">
        <v>527</v>
      </c>
      <c r="J207" t="str">
        <f t="shared" si="17"/>
        <v>&lt;G2P&gt;&lt;G1P&gt;`          BS Business Accountancy</v>
      </c>
      <c r="S207" s="19">
        <v>3051</v>
      </c>
      <c r="T207" s="11" t="s">
        <v>257</v>
      </c>
      <c r="U207" t="s">
        <v>16</v>
      </c>
      <c r="V207" t="s">
        <v>320</v>
      </c>
      <c r="X207" t="s">
        <v>328</v>
      </c>
      <c r="Y207" s="23">
        <f t="shared" si="18"/>
        <v>3051</v>
      </c>
      <c r="Z207" s="23" t="str">
        <f t="shared" si="19"/>
        <v>`               BS Management Engineering</v>
      </c>
    </row>
    <row r="208" spans="1:26" x14ac:dyDescent="0.25">
      <c r="A208" s="6">
        <v>3041</v>
      </c>
      <c r="B208" s="7" t="s">
        <v>255</v>
      </c>
      <c r="C208" t="s">
        <v>16</v>
      </c>
      <c r="D208" t="s">
        <v>319</v>
      </c>
      <c r="F208" t="s">
        <v>328</v>
      </c>
      <c r="G208">
        <f t="shared" si="15"/>
        <v>3041</v>
      </c>
      <c r="H208" t="str">
        <f t="shared" si="16"/>
        <v>`          BS Business Economics</v>
      </c>
      <c r="I208" t="s">
        <v>527</v>
      </c>
      <c r="J208" t="str">
        <f t="shared" si="17"/>
        <v>&lt;G2P&gt;&lt;G1P&gt;`          BS Business Economics</v>
      </c>
      <c r="S208" s="19">
        <v>3052</v>
      </c>
      <c r="T208" s="11" t="s">
        <v>258</v>
      </c>
      <c r="U208" t="s">
        <v>16</v>
      </c>
      <c r="V208" t="s">
        <v>320</v>
      </c>
      <c r="X208" t="s">
        <v>328</v>
      </c>
      <c r="Y208" s="23">
        <f t="shared" si="18"/>
        <v>3052</v>
      </c>
      <c r="Z208" s="23" t="str">
        <f t="shared" si="19"/>
        <v>`               BS Marketing Management</v>
      </c>
    </row>
    <row r="209" spans="1:26" x14ac:dyDescent="0.25">
      <c r="A209" s="6">
        <v>3042</v>
      </c>
      <c r="B209" s="7" t="s">
        <v>256</v>
      </c>
      <c r="C209" t="s">
        <v>16</v>
      </c>
      <c r="D209" t="s">
        <v>319</v>
      </c>
      <c r="F209" t="s">
        <v>328</v>
      </c>
      <c r="G209">
        <f t="shared" si="15"/>
        <v>3042</v>
      </c>
      <c r="H209" t="str">
        <f t="shared" si="16"/>
        <v>`          BS Business Management</v>
      </c>
      <c r="I209" t="s">
        <v>527</v>
      </c>
      <c r="J209" t="str">
        <f t="shared" si="17"/>
        <v>&lt;G2P&gt;&lt;G1P&gt;`          BS Business Management</v>
      </c>
      <c r="S209" s="19">
        <v>3053</v>
      </c>
      <c r="T209" s="11" t="s">
        <v>259</v>
      </c>
      <c r="U209" t="s">
        <v>16</v>
      </c>
      <c r="V209" t="s">
        <v>320</v>
      </c>
      <c r="X209" t="s">
        <v>328</v>
      </c>
      <c r="Y209" s="23">
        <f t="shared" si="18"/>
        <v>3053</v>
      </c>
      <c r="Z209" s="23" t="str">
        <f t="shared" si="19"/>
        <v>`               BS Public Administration</v>
      </c>
    </row>
    <row r="210" spans="1:26" x14ac:dyDescent="0.25">
      <c r="A210" s="6">
        <v>3051</v>
      </c>
      <c r="B210" s="7" t="s">
        <v>257</v>
      </c>
      <c r="C210" t="s">
        <v>16</v>
      </c>
      <c r="D210" t="s">
        <v>319</v>
      </c>
      <c r="F210" t="s">
        <v>328</v>
      </c>
      <c r="G210">
        <f t="shared" si="15"/>
        <v>3051</v>
      </c>
      <c r="H210" t="str">
        <f t="shared" si="16"/>
        <v>`          BS Management Engineering</v>
      </c>
      <c r="I210" t="s">
        <v>527</v>
      </c>
      <c r="J210" t="str">
        <f t="shared" si="17"/>
        <v>&lt;G2P&gt;&lt;G1P&gt;`          BS Management Engineering</v>
      </c>
      <c r="S210" s="19">
        <v>3058</v>
      </c>
      <c r="T210" s="11" t="s">
        <v>260</v>
      </c>
      <c r="U210" t="s">
        <v>16</v>
      </c>
      <c r="V210" t="s">
        <v>320</v>
      </c>
      <c r="X210" t="s">
        <v>328</v>
      </c>
      <c r="Y210" s="23">
        <f t="shared" si="18"/>
        <v>3058</v>
      </c>
      <c r="Z210" s="23" t="str">
        <f t="shared" si="19"/>
        <v>`               BSBA Entrepreneurial Management</v>
      </c>
    </row>
    <row r="211" spans="1:26" x14ac:dyDescent="0.25">
      <c r="A211" s="6">
        <v>3052</v>
      </c>
      <c r="B211" s="7" t="s">
        <v>258</v>
      </c>
      <c r="C211" t="s">
        <v>16</v>
      </c>
      <c r="D211" t="s">
        <v>319</v>
      </c>
      <c r="F211" t="s">
        <v>328</v>
      </c>
      <c r="G211">
        <f t="shared" si="15"/>
        <v>3052</v>
      </c>
      <c r="H211" t="str">
        <f t="shared" si="16"/>
        <v>`          BS Marketing Management</v>
      </c>
      <c r="I211" t="s">
        <v>527</v>
      </c>
      <c r="J211" t="str">
        <f t="shared" si="17"/>
        <v>&lt;G2P&gt;&lt;G1P&gt;`          BS Marketing Management</v>
      </c>
      <c r="S211" s="19">
        <v>3073</v>
      </c>
      <c r="T211" s="11" t="s">
        <v>261</v>
      </c>
      <c r="U211" t="s">
        <v>16</v>
      </c>
      <c r="V211" t="s">
        <v>320</v>
      </c>
      <c r="X211" t="s">
        <v>328</v>
      </c>
      <c r="Y211" s="23">
        <f t="shared" si="18"/>
        <v>3073</v>
      </c>
      <c r="Z211" s="23" t="str">
        <f t="shared" si="19"/>
        <v>`               Customs Administration</v>
      </c>
    </row>
    <row r="212" spans="1:26" x14ac:dyDescent="0.25">
      <c r="A212" s="6">
        <v>3053</v>
      </c>
      <c r="B212" s="7" t="s">
        <v>259</v>
      </c>
      <c r="C212" t="s">
        <v>16</v>
      </c>
      <c r="D212" t="s">
        <v>319</v>
      </c>
      <c r="F212" t="s">
        <v>328</v>
      </c>
      <c r="G212">
        <f t="shared" si="15"/>
        <v>3053</v>
      </c>
      <c r="H212" t="str">
        <f t="shared" si="16"/>
        <v>`          BS Public Administration</v>
      </c>
      <c r="I212" t="s">
        <v>527</v>
      </c>
      <c r="J212" t="str">
        <f t="shared" si="17"/>
        <v>&lt;G2P&gt;&lt;G1P&gt;`          BS Public Administration</v>
      </c>
      <c r="S212" s="19">
        <v>3080</v>
      </c>
      <c r="T212" s="11" t="s">
        <v>262</v>
      </c>
      <c r="U212" t="s">
        <v>16</v>
      </c>
      <c r="V212" t="s">
        <v>320</v>
      </c>
      <c r="X212" t="s">
        <v>328</v>
      </c>
      <c r="Y212" s="23">
        <f t="shared" si="18"/>
        <v>3080</v>
      </c>
      <c r="Z212" s="23" t="str">
        <f t="shared" si="19"/>
        <v>`               BS Culinary Arts</v>
      </c>
    </row>
    <row r="213" spans="1:26" x14ac:dyDescent="0.25">
      <c r="A213" s="6">
        <v>3058</v>
      </c>
      <c r="B213" s="7" t="s">
        <v>260</v>
      </c>
      <c r="C213" t="s">
        <v>16</v>
      </c>
      <c r="D213" t="s">
        <v>319</v>
      </c>
      <c r="F213" t="s">
        <v>328</v>
      </c>
      <c r="G213">
        <f t="shared" si="15"/>
        <v>3058</v>
      </c>
      <c r="H213" t="str">
        <f t="shared" si="16"/>
        <v>`          BSBA Entrepreneurial Management</v>
      </c>
      <c r="I213" t="s">
        <v>527</v>
      </c>
      <c r="J213" t="str">
        <f t="shared" si="17"/>
        <v>&lt;G2P&gt;&lt;G1P&gt;`          BSBA Entrepreneurial Management</v>
      </c>
      <c r="S213" s="19">
        <v>3081</v>
      </c>
      <c r="T213" s="11" t="s">
        <v>263</v>
      </c>
      <c r="U213" t="s">
        <v>16</v>
      </c>
      <c r="V213" t="s">
        <v>320</v>
      </c>
      <c r="X213" t="s">
        <v>328</v>
      </c>
      <c r="Y213" s="23">
        <f t="shared" si="18"/>
        <v>3081</v>
      </c>
      <c r="Z213" s="23" t="str">
        <f t="shared" si="19"/>
        <v>`               BS Financial Management</v>
      </c>
    </row>
    <row r="214" spans="1:26" x14ac:dyDescent="0.25">
      <c r="A214" s="6">
        <v>3073</v>
      </c>
      <c r="B214" s="7" t="s">
        <v>261</v>
      </c>
      <c r="C214" t="s">
        <v>16</v>
      </c>
      <c r="D214" t="s">
        <v>319</v>
      </c>
      <c r="F214" t="s">
        <v>328</v>
      </c>
      <c r="G214">
        <f t="shared" si="15"/>
        <v>3073</v>
      </c>
      <c r="H214" t="str">
        <f t="shared" si="16"/>
        <v>`          Customs Administration</v>
      </c>
      <c r="I214" t="s">
        <v>527</v>
      </c>
      <c r="J214" t="str">
        <f t="shared" si="17"/>
        <v>&lt;G2P&gt;&lt;G1P&gt;`          Customs Administration</v>
      </c>
      <c r="S214" s="19">
        <v>3092</v>
      </c>
      <c r="T214" s="11" t="s">
        <v>264</v>
      </c>
      <c r="U214" t="s">
        <v>16</v>
      </c>
      <c r="V214" t="s">
        <v>320</v>
      </c>
      <c r="X214" t="s">
        <v>328</v>
      </c>
      <c r="Y214" s="23">
        <f t="shared" si="18"/>
        <v>3092</v>
      </c>
      <c r="Z214" s="23" t="str">
        <f t="shared" si="19"/>
        <v>`               The institute of account, business and finance</v>
      </c>
    </row>
    <row r="215" spans="1:26" x14ac:dyDescent="0.25">
      <c r="A215" s="6">
        <v>3080</v>
      </c>
      <c r="B215" s="7" t="s">
        <v>262</v>
      </c>
      <c r="C215" t="s">
        <v>16</v>
      </c>
      <c r="D215" t="s">
        <v>319</v>
      </c>
      <c r="F215" t="s">
        <v>328</v>
      </c>
      <c r="G215">
        <f t="shared" si="15"/>
        <v>3080</v>
      </c>
      <c r="H215" t="str">
        <f t="shared" si="16"/>
        <v>`          BS Culinary Arts</v>
      </c>
      <c r="I215" t="s">
        <v>527</v>
      </c>
      <c r="J215" t="str">
        <f t="shared" si="17"/>
        <v>&lt;G2P&gt;&lt;G1P&gt;`          BS Culinary Arts</v>
      </c>
      <c r="S215" s="19">
        <v>3108</v>
      </c>
      <c r="T215" s="11" t="s">
        <v>265</v>
      </c>
      <c r="U215" t="s">
        <v>16</v>
      </c>
      <c r="V215" t="s">
        <v>320</v>
      </c>
      <c r="X215" t="s">
        <v>328</v>
      </c>
      <c r="Y215" s="23">
        <f t="shared" si="18"/>
        <v>3108</v>
      </c>
      <c r="Z215" s="23" t="str">
        <f t="shared" si="19"/>
        <v>`               BSBA Operation managements</v>
      </c>
    </row>
    <row r="216" spans="1:26" x14ac:dyDescent="0.25">
      <c r="A216" s="6">
        <v>3081</v>
      </c>
      <c r="B216" s="7" t="s">
        <v>263</v>
      </c>
      <c r="C216" t="s">
        <v>16</v>
      </c>
      <c r="D216" t="s">
        <v>319</v>
      </c>
      <c r="F216" t="s">
        <v>328</v>
      </c>
      <c r="G216">
        <f t="shared" si="15"/>
        <v>3081</v>
      </c>
      <c r="H216" t="str">
        <f t="shared" si="16"/>
        <v>`          BS Financial Management</v>
      </c>
      <c r="I216" t="s">
        <v>527</v>
      </c>
      <c r="J216" t="str">
        <f t="shared" si="17"/>
        <v>&lt;G2P&gt;&lt;G1P&gt;`          BS Financial Management</v>
      </c>
      <c r="S216" s="19">
        <v>3116</v>
      </c>
      <c r="T216" s="11" t="s">
        <v>347</v>
      </c>
      <c r="U216" t="s">
        <v>16</v>
      </c>
      <c r="V216" t="s">
        <v>320</v>
      </c>
      <c r="X216" t="s">
        <v>328</v>
      </c>
      <c r="Y216" s="23">
        <f t="shared" si="18"/>
        <v>3116</v>
      </c>
      <c r="Z216" s="23" t="str">
        <f t="shared" si="19"/>
        <v>`               BS Business Analytics</v>
      </c>
    </row>
    <row r="217" spans="1:26" x14ac:dyDescent="0.25">
      <c r="A217" s="6">
        <v>3092</v>
      </c>
      <c r="B217" s="7" t="s">
        <v>264</v>
      </c>
      <c r="C217" t="s">
        <v>16</v>
      </c>
      <c r="D217" t="s">
        <v>319</v>
      </c>
      <c r="F217" t="s">
        <v>328</v>
      </c>
      <c r="G217">
        <f t="shared" si="15"/>
        <v>3092</v>
      </c>
      <c r="H217" t="str">
        <f t="shared" si="16"/>
        <v>`          The institute of account, business and finance</v>
      </c>
      <c r="I217" t="s">
        <v>527</v>
      </c>
      <c r="J217" t="str">
        <f t="shared" si="17"/>
        <v>&lt;G2P&gt;&lt;G1P&gt;`          The institute of account, business and finance</v>
      </c>
      <c r="S217" s="19">
        <v>3117</v>
      </c>
      <c r="T217" s="11" t="s">
        <v>348</v>
      </c>
      <c r="U217" t="s">
        <v>16</v>
      </c>
      <c r="V217" t="s">
        <v>320</v>
      </c>
      <c r="X217" t="s">
        <v>328</v>
      </c>
      <c r="Y217" s="23">
        <f t="shared" si="18"/>
        <v>3117</v>
      </c>
      <c r="Z217" s="23" t="str">
        <f t="shared" si="19"/>
        <v>`               BS Advertising Management</v>
      </c>
    </row>
    <row r="218" spans="1:26" ht="15.75" x14ac:dyDescent="0.25">
      <c r="A218" s="6">
        <v>3108</v>
      </c>
      <c r="B218" s="7" t="s">
        <v>265</v>
      </c>
      <c r="C218" t="s">
        <v>16</v>
      </c>
      <c r="D218" t="s">
        <v>319</v>
      </c>
      <c r="F218" t="s">
        <v>328</v>
      </c>
      <c r="G218">
        <f t="shared" si="15"/>
        <v>3108</v>
      </c>
      <c r="H218" t="str">
        <f t="shared" si="16"/>
        <v>`          BSBA Operation managements</v>
      </c>
      <c r="I218" t="s">
        <v>527</v>
      </c>
      <c r="J218" t="str">
        <f t="shared" si="17"/>
        <v>&lt;G2P&gt;&lt;G1P&gt;`          BSBA Operation managements</v>
      </c>
      <c r="S218" s="19" t="s">
        <v>307</v>
      </c>
      <c r="T218" s="12" t="s">
        <v>266</v>
      </c>
      <c r="U218" t="s">
        <v>6</v>
      </c>
      <c r="V218" t="s">
        <v>323</v>
      </c>
      <c r="W218" t="s">
        <v>322</v>
      </c>
      <c r="X218" t="s">
        <v>327</v>
      </c>
      <c r="Y218" s="23" t="str">
        <f t="shared" si="18"/>
        <v>3084+3089+3102</v>
      </c>
      <c r="Z218" s="23" t="str">
        <f t="shared" si="19"/>
        <v>`GRADUTE STUDIES (NET)&lt;Q&gt;</v>
      </c>
    </row>
    <row r="219" spans="1:26" x14ac:dyDescent="0.25">
      <c r="A219" s="6">
        <v>3116</v>
      </c>
      <c r="B219" s="7" t="s">
        <v>347</v>
      </c>
      <c r="C219" t="s">
        <v>16</v>
      </c>
      <c r="D219" t="s">
        <v>319</v>
      </c>
      <c r="F219" t="s">
        <v>328</v>
      </c>
      <c r="G219">
        <f t="shared" si="15"/>
        <v>3116</v>
      </c>
      <c r="H219" t="str">
        <f t="shared" si="16"/>
        <v>`          BS Business Analytics</v>
      </c>
      <c r="I219" t="s">
        <v>527</v>
      </c>
      <c r="J219" t="str">
        <f t="shared" si="17"/>
        <v>&lt;G2P&gt;&lt;G1P&gt;`          BS Business Analytics</v>
      </c>
      <c r="S219" s="19">
        <v>3084</v>
      </c>
      <c r="T219" s="11" t="s">
        <v>267</v>
      </c>
      <c r="U219" t="s">
        <v>16</v>
      </c>
      <c r="V219" t="s">
        <v>318</v>
      </c>
      <c r="X219" t="s">
        <v>326</v>
      </c>
      <c r="Y219" s="23">
        <f t="shared" si="18"/>
        <v>3084</v>
      </c>
      <c r="Z219" s="23" t="str">
        <f t="shared" si="19"/>
        <v>`     Master of Science in Applied Physics</v>
      </c>
    </row>
    <row r="220" spans="1:26" x14ac:dyDescent="0.25">
      <c r="A220" s="6">
        <v>3117</v>
      </c>
      <c r="B220" s="7" t="s">
        <v>348</v>
      </c>
      <c r="C220" t="s">
        <v>16</v>
      </c>
      <c r="D220" t="s">
        <v>319</v>
      </c>
      <c r="F220" t="s">
        <v>328</v>
      </c>
      <c r="G220">
        <f t="shared" si="15"/>
        <v>3117</v>
      </c>
      <c r="H220" t="str">
        <f t="shared" si="16"/>
        <v>`          BS Advertising Management</v>
      </c>
      <c r="I220" t="s">
        <v>527</v>
      </c>
      <c r="J220" t="str">
        <f t="shared" si="17"/>
        <v>&lt;G2P&gt;&lt;G1P&gt;`          BS Advertising Management</v>
      </c>
      <c r="S220" s="19">
        <v>3089</v>
      </c>
      <c r="T220" s="11" t="s">
        <v>268</v>
      </c>
      <c r="U220" t="s">
        <v>16</v>
      </c>
      <c r="V220" t="s">
        <v>318</v>
      </c>
      <c r="X220" t="s">
        <v>326</v>
      </c>
      <c r="Y220" s="23">
        <f t="shared" si="18"/>
        <v>3089</v>
      </c>
      <c r="Z220" s="23" t="str">
        <f t="shared" si="19"/>
        <v>`     Masters of Science in Chemistry</v>
      </c>
    </row>
    <row r="221" spans="1:26" x14ac:dyDescent="0.25">
      <c r="A221" s="6">
        <v>3125</v>
      </c>
      <c r="B221" s="7" t="s">
        <v>361</v>
      </c>
      <c r="C221" t="s">
        <v>16</v>
      </c>
      <c r="D221" t="s">
        <v>319</v>
      </c>
      <c r="F221" t="s">
        <v>328</v>
      </c>
      <c r="G221">
        <f t="shared" si="15"/>
        <v>3125</v>
      </c>
      <c r="H221" t="str">
        <f t="shared" si="16"/>
        <v>`          BS Aviation Managament</v>
      </c>
      <c r="I221" t="s">
        <v>529</v>
      </c>
      <c r="J221" t="str">
        <f t="shared" si="17"/>
        <v>&lt;G3E&gt;&lt;G2P&gt;&lt;G1P&gt;`          BS Aviation Managament</v>
      </c>
      <c r="S221" s="19">
        <v>3102</v>
      </c>
      <c r="T221" s="11" t="s">
        <v>269</v>
      </c>
      <c r="U221" t="s">
        <v>16</v>
      </c>
      <c r="V221" t="s">
        <v>318</v>
      </c>
      <c r="X221" t="s">
        <v>326</v>
      </c>
      <c r="Y221" s="23">
        <f t="shared" si="18"/>
        <v>3102</v>
      </c>
      <c r="Z221" s="23" t="str">
        <f t="shared" si="19"/>
        <v>`     MA Sociology</v>
      </c>
    </row>
    <row r="222" spans="1:26" ht="15.75" x14ac:dyDescent="0.25">
      <c r="A222" s="6" t="s">
        <v>307</v>
      </c>
      <c r="B222" s="15" t="s">
        <v>266</v>
      </c>
      <c r="C222" t="s">
        <v>6</v>
      </c>
      <c r="D222" t="s">
        <v>323</v>
      </c>
      <c r="E222" t="s">
        <v>322</v>
      </c>
      <c r="F222" t="s">
        <v>327</v>
      </c>
      <c r="G222" t="str">
        <f t="shared" si="15"/>
        <v>3084+3089+3102</v>
      </c>
      <c r="H222" t="str">
        <f t="shared" si="16"/>
        <v>`GRADUTE STUDIES (NET)&lt;Q&gt;</v>
      </c>
      <c r="J222" t="str">
        <f t="shared" si="17"/>
        <v>`GRADUTE STUDIES (NET)&lt;Q&gt;</v>
      </c>
      <c r="S222" s="19" t="s">
        <v>308</v>
      </c>
      <c r="T222" s="12" t="s">
        <v>270</v>
      </c>
      <c r="U222" t="s">
        <v>6</v>
      </c>
      <c r="V222" t="s">
        <v>323</v>
      </c>
      <c r="W222" t="s">
        <v>322</v>
      </c>
      <c r="X222" t="s">
        <v>327</v>
      </c>
      <c r="Y222" s="23" t="str">
        <f t="shared" si="18"/>
        <v>1028+1058+1192+1193+1062+1029+1063+1033+1059+1060+1034+1197+3002+3003+1030+1031+1032+1061+3103+3104</v>
      </c>
      <c r="Z222" s="23" t="str">
        <f t="shared" si="19"/>
        <v>`SENIOR HIGH SCHOOL (NET)&lt;Q&gt;</v>
      </c>
    </row>
    <row r="223" spans="1:26" x14ac:dyDescent="0.25">
      <c r="A223" s="6">
        <v>3084</v>
      </c>
      <c r="B223" s="7" t="s">
        <v>267</v>
      </c>
      <c r="C223" t="s">
        <v>16</v>
      </c>
      <c r="D223" t="s">
        <v>318</v>
      </c>
      <c r="F223" t="s">
        <v>326</v>
      </c>
      <c r="G223">
        <f t="shared" si="15"/>
        <v>3084</v>
      </c>
      <c r="H223" t="str">
        <f t="shared" si="16"/>
        <v>`     Master of Science in Applied Physics</v>
      </c>
      <c r="I223" t="s">
        <v>520</v>
      </c>
      <c r="J223" t="str">
        <f t="shared" si="17"/>
        <v>&lt;G2B&gt;&lt;G1P&gt;`     Master of Science in Applied Physics</v>
      </c>
      <c r="S223" s="19">
        <v>1028</v>
      </c>
      <c r="T223" s="13" t="s">
        <v>271</v>
      </c>
      <c r="U223" t="s">
        <v>5</v>
      </c>
      <c r="V223" t="s">
        <v>318</v>
      </c>
      <c r="W223" t="s">
        <v>322</v>
      </c>
      <c r="X223" t="s">
        <v>326</v>
      </c>
      <c r="Y223" s="23">
        <f t="shared" si="18"/>
        <v>1028</v>
      </c>
      <c r="Z223" s="23" t="str">
        <f t="shared" si="19"/>
        <v>`     HUMANITIES AND SOCIAL SCIENCES STRAND (SUBNET)&lt;Q&gt;</v>
      </c>
    </row>
    <row r="224" spans="1:26" x14ac:dyDescent="0.25">
      <c r="A224" s="6">
        <v>3089</v>
      </c>
      <c r="B224" s="7" t="s">
        <v>268</v>
      </c>
      <c r="C224" t="s">
        <v>16</v>
      </c>
      <c r="D224" t="s">
        <v>318</v>
      </c>
      <c r="F224" t="s">
        <v>326</v>
      </c>
      <c r="G224">
        <f t="shared" si="15"/>
        <v>3089</v>
      </c>
      <c r="H224" t="str">
        <f t="shared" si="16"/>
        <v>`     Masters of Science in Chemistry</v>
      </c>
      <c r="I224" t="s">
        <v>522</v>
      </c>
      <c r="J224" t="str">
        <f t="shared" si="17"/>
        <v>&lt;G1P&gt;`     Masters of Science in Chemistry</v>
      </c>
      <c r="S224" s="19">
        <v>1028</v>
      </c>
      <c r="T224" s="11" t="s">
        <v>272</v>
      </c>
      <c r="U224" t="s">
        <v>16</v>
      </c>
      <c r="V224" t="s">
        <v>320</v>
      </c>
      <c r="X224" t="s">
        <v>328</v>
      </c>
      <c r="Y224" s="23">
        <f t="shared" si="18"/>
        <v>1028</v>
      </c>
      <c r="Z224" s="23" t="str">
        <f t="shared" si="19"/>
        <v>`               HUMSS</v>
      </c>
    </row>
    <row r="225" spans="1:26" x14ac:dyDescent="0.25">
      <c r="A225" s="6">
        <v>3102</v>
      </c>
      <c r="B225" s="7" t="s">
        <v>269</v>
      </c>
      <c r="C225" t="s">
        <v>16</v>
      </c>
      <c r="D225" t="s">
        <v>318</v>
      </c>
      <c r="F225" t="s">
        <v>326</v>
      </c>
      <c r="G225">
        <f t="shared" si="15"/>
        <v>3102</v>
      </c>
      <c r="H225" t="str">
        <f t="shared" si="16"/>
        <v>`     MA Sociology</v>
      </c>
      <c r="I225" t="s">
        <v>521</v>
      </c>
      <c r="J225" t="str">
        <f t="shared" si="17"/>
        <v>&lt;G2E&gt;&lt;G1P&gt;`     MA Sociology</v>
      </c>
      <c r="S225" s="19" t="s">
        <v>309</v>
      </c>
      <c r="T225" s="13" t="s">
        <v>273</v>
      </c>
      <c r="U225" t="s">
        <v>5</v>
      </c>
      <c r="V225" t="s">
        <v>318</v>
      </c>
      <c r="W225" t="s">
        <v>322</v>
      </c>
      <c r="X225" t="s">
        <v>326</v>
      </c>
      <c r="Y225" s="23" t="str">
        <f t="shared" si="18"/>
        <v>1058+1192+1193</v>
      </c>
      <c r="Z225" s="23" t="str">
        <f t="shared" si="19"/>
        <v>`     GENERAL ACADEMIC STRAND (SUBNET)&lt;Q&gt;</v>
      </c>
    </row>
    <row r="226" spans="1:26" ht="15.75" x14ac:dyDescent="0.25">
      <c r="A226" s="6" t="s">
        <v>308</v>
      </c>
      <c r="B226" s="15" t="s">
        <v>270</v>
      </c>
      <c r="C226" t="s">
        <v>6</v>
      </c>
      <c r="D226" t="s">
        <v>323</v>
      </c>
      <c r="E226" t="s">
        <v>322</v>
      </c>
      <c r="F226" t="s">
        <v>327</v>
      </c>
      <c r="G226" t="str">
        <f t="shared" si="15"/>
        <v>1028+1058+1192+1193+1062+1029+1063+1033+1059+1060+1034+1197+3002+3003+1030+1031+1032+1061+3103+3104</v>
      </c>
      <c r="H226" t="str">
        <f t="shared" si="16"/>
        <v>`SENIOR HIGH SCHOOL (NET)&lt;Q&gt;</v>
      </c>
      <c r="J226" t="str">
        <f t="shared" si="17"/>
        <v>`SENIOR HIGH SCHOOL (NET)&lt;Q&gt;</v>
      </c>
      <c r="S226" s="19">
        <v>1058</v>
      </c>
      <c r="T226" s="11" t="s">
        <v>274</v>
      </c>
      <c r="U226" t="s">
        <v>16</v>
      </c>
      <c r="V226" t="s">
        <v>320</v>
      </c>
      <c r="X226" t="s">
        <v>328</v>
      </c>
      <c r="Y226" s="23">
        <f t="shared" si="18"/>
        <v>1058</v>
      </c>
      <c r="Z226" s="23" t="str">
        <f t="shared" si="19"/>
        <v>`               GAS</v>
      </c>
    </row>
    <row r="227" spans="1:26" x14ac:dyDescent="0.25">
      <c r="A227" s="6">
        <v>1028</v>
      </c>
      <c r="B227" s="8" t="s">
        <v>271</v>
      </c>
      <c r="C227" t="s">
        <v>5</v>
      </c>
      <c r="D227" t="s">
        <v>318</v>
      </c>
      <c r="E227" t="s">
        <v>322</v>
      </c>
      <c r="F227" t="s">
        <v>326</v>
      </c>
      <c r="G227">
        <f t="shared" si="15"/>
        <v>1028</v>
      </c>
      <c r="H227" t="str">
        <f t="shared" si="16"/>
        <v>`     HUMANITIES AND SOCIAL SCIENCES STRAND (SUBNET)&lt;Q&gt;</v>
      </c>
      <c r="I227" t="s">
        <v>520</v>
      </c>
      <c r="J227" t="str">
        <f t="shared" si="17"/>
        <v>&lt;G2B&gt;&lt;G1P&gt;`     HUMANITIES AND SOCIAL SCIENCES STRAND (SUBNET)&lt;Q&gt;</v>
      </c>
      <c r="S227" s="19">
        <v>1192</v>
      </c>
      <c r="T227" s="11" t="s">
        <v>275</v>
      </c>
      <c r="U227" t="s">
        <v>16</v>
      </c>
      <c r="V227" t="s">
        <v>320</v>
      </c>
      <c r="X227" t="s">
        <v>328</v>
      </c>
      <c r="Y227" s="23">
        <f t="shared" si="18"/>
        <v>1192</v>
      </c>
      <c r="Z227" s="23" t="str">
        <f t="shared" si="19"/>
        <v>`               Arts and Design</v>
      </c>
    </row>
    <row r="228" spans="1:26" x14ac:dyDescent="0.25">
      <c r="A228" s="6">
        <v>1028</v>
      </c>
      <c r="B228" s="7" t="s">
        <v>272</v>
      </c>
      <c r="C228" t="s">
        <v>16</v>
      </c>
      <c r="D228" t="s">
        <v>319</v>
      </c>
      <c r="F228" t="s">
        <v>328</v>
      </c>
      <c r="G228">
        <f t="shared" si="15"/>
        <v>1028</v>
      </c>
      <c r="H228" t="str">
        <f t="shared" si="16"/>
        <v>`          HUMSS</v>
      </c>
      <c r="I228" t="s">
        <v>527</v>
      </c>
      <c r="J228" t="str">
        <f t="shared" si="17"/>
        <v>&lt;G2P&gt;&lt;G1P&gt;`          HUMSS</v>
      </c>
      <c r="S228" s="19">
        <v>1193</v>
      </c>
      <c r="T228" s="11" t="s">
        <v>276</v>
      </c>
      <c r="U228" t="s">
        <v>16</v>
      </c>
      <c r="V228" t="s">
        <v>320</v>
      </c>
      <c r="X228" t="s">
        <v>328</v>
      </c>
      <c r="Y228" s="23">
        <f t="shared" si="18"/>
        <v>1193</v>
      </c>
      <c r="Z228" s="23" t="str">
        <f t="shared" si="19"/>
        <v>`               Basic Education</v>
      </c>
    </row>
    <row r="229" spans="1:26" x14ac:dyDescent="0.25">
      <c r="A229" s="6" t="s">
        <v>309</v>
      </c>
      <c r="B229" s="8" t="s">
        <v>273</v>
      </c>
      <c r="C229" t="s">
        <v>5</v>
      </c>
      <c r="D229" t="s">
        <v>318</v>
      </c>
      <c r="E229" t="s">
        <v>322</v>
      </c>
      <c r="F229" t="s">
        <v>326</v>
      </c>
      <c r="G229" t="str">
        <f t="shared" si="15"/>
        <v>1058+1192+1193</v>
      </c>
      <c r="H229" t="str">
        <f t="shared" si="16"/>
        <v>`     GENERAL ACADEMIC STRAND (SUBNET)&lt;Q&gt;</v>
      </c>
      <c r="I229" t="s">
        <v>522</v>
      </c>
      <c r="J229" t="str">
        <f t="shared" si="17"/>
        <v>&lt;G1P&gt;`     GENERAL ACADEMIC STRAND (SUBNET)&lt;Q&gt;</v>
      </c>
      <c r="S229" s="19">
        <v>1062</v>
      </c>
      <c r="T229" s="13" t="s">
        <v>277</v>
      </c>
      <c r="U229" t="s">
        <v>5</v>
      </c>
      <c r="V229" t="s">
        <v>318</v>
      </c>
      <c r="W229" t="s">
        <v>322</v>
      </c>
      <c r="X229" t="s">
        <v>326</v>
      </c>
      <c r="Y229" s="23">
        <f t="shared" si="18"/>
        <v>1062</v>
      </c>
      <c r="Z229" s="23" t="str">
        <f t="shared" si="19"/>
        <v>`     PHYSICAL EDUCATION AND SPORTS SOCIETY STRAND (SUBNET)&lt;Q&gt;</v>
      </c>
    </row>
    <row r="230" spans="1:26" x14ac:dyDescent="0.25">
      <c r="A230" s="6">
        <v>1058</v>
      </c>
      <c r="B230" s="7" t="s">
        <v>274</v>
      </c>
      <c r="C230" t="s">
        <v>16</v>
      </c>
      <c r="D230" t="s">
        <v>319</v>
      </c>
      <c r="F230" t="s">
        <v>328</v>
      </c>
      <c r="G230">
        <f t="shared" si="15"/>
        <v>1058</v>
      </c>
      <c r="H230" t="str">
        <f t="shared" si="16"/>
        <v>`          GAS</v>
      </c>
      <c r="I230" t="s">
        <v>528</v>
      </c>
      <c r="J230" t="str">
        <f t="shared" si="17"/>
        <v>&lt;G3B&gt;&lt;G2P&gt;&lt;G1P&gt;`          GAS</v>
      </c>
      <c r="S230" s="19">
        <v>1062</v>
      </c>
      <c r="T230" s="11" t="s">
        <v>278</v>
      </c>
      <c r="U230" t="s">
        <v>16</v>
      </c>
      <c r="V230" t="s">
        <v>320</v>
      </c>
      <c r="X230" t="s">
        <v>328</v>
      </c>
      <c r="Y230" s="23">
        <f t="shared" si="18"/>
        <v>1062</v>
      </c>
      <c r="Z230" s="23" t="str">
        <f t="shared" si="19"/>
        <v>`               PES</v>
      </c>
    </row>
    <row r="231" spans="1:26" x14ac:dyDescent="0.25">
      <c r="A231" s="6">
        <v>1192</v>
      </c>
      <c r="B231" s="7" t="s">
        <v>275</v>
      </c>
      <c r="C231" t="s">
        <v>16</v>
      </c>
      <c r="D231" t="s">
        <v>319</v>
      </c>
      <c r="F231" t="s">
        <v>328</v>
      </c>
      <c r="G231">
        <f t="shared" si="15"/>
        <v>1192</v>
      </c>
      <c r="H231" t="str">
        <f t="shared" si="16"/>
        <v>`          Arts and Design</v>
      </c>
      <c r="I231" t="s">
        <v>527</v>
      </c>
      <c r="J231" t="str">
        <f t="shared" si="17"/>
        <v>&lt;G2P&gt;&lt;G1P&gt;`          Arts and Design</v>
      </c>
      <c r="S231" s="19" t="s">
        <v>310</v>
      </c>
      <c r="T231" s="13" t="s">
        <v>279</v>
      </c>
      <c r="U231" t="s">
        <v>5</v>
      </c>
      <c r="V231" t="s">
        <v>318</v>
      </c>
      <c r="W231" t="s">
        <v>322</v>
      </c>
      <c r="X231" t="s">
        <v>326</v>
      </c>
      <c r="Y231" s="23" t="str">
        <f t="shared" si="18"/>
        <v>1029+1063</v>
      </c>
      <c r="Z231" s="23" t="str">
        <f t="shared" si="19"/>
        <v>`     ACCOUNTANCY AND BUSINESS MANAGEMENT (SUBNET)&lt;Q&gt;</v>
      </c>
    </row>
    <row r="232" spans="1:26" x14ac:dyDescent="0.25">
      <c r="A232" s="6">
        <v>1193</v>
      </c>
      <c r="B232" s="7" t="s">
        <v>276</v>
      </c>
      <c r="C232" t="s">
        <v>16</v>
      </c>
      <c r="D232" t="s">
        <v>319</v>
      </c>
      <c r="F232" t="s">
        <v>328</v>
      </c>
      <c r="G232">
        <f t="shared" si="15"/>
        <v>1193</v>
      </c>
      <c r="H232" t="str">
        <f t="shared" si="16"/>
        <v>`          Basic Education</v>
      </c>
      <c r="I232" t="s">
        <v>529</v>
      </c>
      <c r="J232" t="str">
        <f t="shared" si="17"/>
        <v>&lt;G3E&gt;&lt;G2P&gt;&lt;G1P&gt;`          Basic Education</v>
      </c>
      <c r="S232" s="19">
        <v>1029</v>
      </c>
      <c r="T232" s="11" t="s">
        <v>280</v>
      </c>
      <c r="U232" t="s">
        <v>16</v>
      </c>
      <c r="V232" t="s">
        <v>320</v>
      </c>
      <c r="X232" t="s">
        <v>328</v>
      </c>
      <c r="Y232" s="23">
        <f t="shared" si="18"/>
        <v>1029</v>
      </c>
      <c r="Z232" s="23" t="str">
        <f t="shared" si="19"/>
        <v>`               ABM</v>
      </c>
    </row>
    <row r="233" spans="1:26" x14ac:dyDescent="0.25">
      <c r="A233" s="6">
        <v>1062</v>
      </c>
      <c r="B233" s="8" t="s">
        <v>277</v>
      </c>
      <c r="C233" t="s">
        <v>5</v>
      </c>
      <c r="D233" t="s">
        <v>318</v>
      </c>
      <c r="E233" t="s">
        <v>322</v>
      </c>
      <c r="F233" t="s">
        <v>326</v>
      </c>
      <c r="G233">
        <f t="shared" si="15"/>
        <v>1062</v>
      </c>
      <c r="H233" t="str">
        <f t="shared" si="16"/>
        <v>`     PHYSICAL EDUCATION AND SPORTS SOCIETY STRAND (SUBNET)&lt;Q&gt;</v>
      </c>
      <c r="I233" t="s">
        <v>522</v>
      </c>
      <c r="J233" t="str">
        <f t="shared" si="17"/>
        <v>&lt;G1P&gt;`     PHYSICAL EDUCATION AND SPORTS SOCIETY STRAND (SUBNET)&lt;Q&gt;</v>
      </c>
      <c r="S233" s="19">
        <v>1063</v>
      </c>
      <c r="T233" s="11" t="s">
        <v>281</v>
      </c>
      <c r="U233" t="s">
        <v>16</v>
      </c>
      <c r="V233" t="s">
        <v>320</v>
      </c>
      <c r="X233" t="s">
        <v>328</v>
      </c>
      <c r="Y233" s="23">
        <f t="shared" si="18"/>
        <v>1063</v>
      </c>
      <c r="Z233" s="23" t="str">
        <f t="shared" si="19"/>
        <v>`               SPT</v>
      </c>
    </row>
    <row r="234" spans="1:26" x14ac:dyDescent="0.25">
      <c r="A234" s="6">
        <v>1062</v>
      </c>
      <c r="B234" s="7" t="s">
        <v>278</v>
      </c>
      <c r="C234" t="s">
        <v>16</v>
      </c>
      <c r="D234" t="s">
        <v>319</v>
      </c>
      <c r="F234" t="s">
        <v>328</v>
      </c>
      <c r="G234">
        <f t="shared" si="15"/>
        <v>1062</v>
      </c>
      <c r="H234" t="str">
        <f t="shared" si="16"/>
        <v>`          PES</v>
      </c>
      <c r="I234" t="s">
        <v>527</v>
      </c>
      <c r="J234" t="str">
        <f t="shared" si="17"/>
        <v>&lt;G2P&gt;&lt;G1P&gt;`          PES</v>
      </c>
      <c r="S234" s="19" t="s">
        <v>311</v>
      </c>
      <c r="T234" s="13" t="s">
        <v>282</v>
      </c>
      <c r="U234" t="s">
        <v>5</v>
      </c>
      <c r="V234" t="s">
        <v>318</v>
      </c>
      <c r="W234" t="s">
        <v>322</v>
      </c>
      <c r="X234" t="s">
        <v>326</v>
      </c>
      <c r="Y234" s="23" t="str">
        <f t="shared" si="18"/>
        <v>1033+1059+1060</v>
      </c>
      <c r="Z234" s="23" t="str">
        <f t="shared" si="19"/>
        <v>`     TECHNICAL-VOCATIONAL-LIVELIHOOD STRAND (SUBNET)&lt;Q&gt;</v>
      </c>
    </row>
    <row r="235" spans="1:26" x14ac:dyDescent="0.25">
      <c r="A235" s="6" t="s">
        <v>310</v>
      </c>
      <c r="B235" s="8" t="s">
        <v>279</v>
      </c>
      <c r="C235" t="s">
        <v>5</v>
      </c>
      <c r="D235" t="s">
        <v>318</v>
      </c>
      <c r="E235" t="s">
        <v>322</v>
      </c>
      <c r="F235" t="s">
        <v>326</v>
      </c>
      <c r="G235" t="str">
        <f t="shared" si="15"/>
        <v>1029+1063</v>
      </c>
      <c r="H235" t="str">
        <f t="shared" si="16"/>
        <v>`     ACCOUNTANCY AND BUSINESS MANAGEMENT (SUBNET)&lt;Q&gt;</v>
      </c>
      <c r="I235" t="s">
        <v>522</v>
      </c>
      <c r="J235" t="str">
        <f t="shared" si="17"/>
        <v>&lt;G1P&gt;`     ACCOUNTANCY AND BUSINESS MANAGEMENT (SUBNET)&lt;Q&gt;</v>
      </c>
      <c r="S235" s="19">
        <v>1033</v>
      </c>
      <c r="T235" s="11" t="s">
        <v>283</v>
      </c>
      <c r="U235" t="s">
        <v>16</v>
      </c>
      <c r="V235" t="s">
        <v>320</v>
      </c>
      <c r="X235" t="s">
        <v>328</v>
      </c>
      <c r="Y235" s="23">
        <f t="shared" si="18"/>
        <v>1033</v>
      </c>
      <c r="Z235" s="23" t="str">
        <f t="shared" si="19"/>
        <v>`               TVL</v>
      </c>
    </row>
    <row r="236" spans="1:26" x14ac:dyDescent="0.25">
      <c r="A236" s="6">
        <v>1029</v>
      </c>
      <c r="B236" s="7" t="s">
        <v>280</v>
      </c>
      <c r="C236" t="s">
        <v>16</v>
      </c>
      <c r="D236" t="s">
        <v>319</v>
      </c>
      <c r="F236" t="s">
        <v>328</v>
      </c>
      <c r="G236">
        <f t="shared" si="15"/>
        <v>1029</v>
      </c>
      <c r="H236" t="str">
        <f t="shared" si="16"/>
        <v>`          ABM</v>
      </c>
      <c r="I236" t="s">
        <v>528</v>
      </c>
      <c r="J236" t="str">
        <f t="shared" si="17"/>
        <v>&lt;G3B&gt;&lt;G2P&gt;&lt;G1P&gt;`          ABM</v>
      </c>
      <c r="S236" s="19">
        <v>1059</v>
      </c>
      <c r="T236" s="11" t="s">
        <v>284</v>
      </c>
      <c r="U236" t="s">
        <v>16</v>
      </c>
      <c r="V236" t="s">
        <v>320</v>
      </c>
      <c r="X236" t="s">
        <v>328</v>
      </c>
      <c r="Y236" s="23">
        <f t="shared" si="18"/>
        <v>1059</v>
      </c>
      <c r="Z236" s="23" t="str">
        <f t="shared" si="19"/>
        <v>`               Home Economics</v>
      </c>
    </row>
    <row r="237" spans="1:26" x14ac:dyDescent="0.25">
      <c r="A237" s="6">
        <v>1063</v>
      </c>
      <c r="B237" s="7" t="s">
        <v>281</v>
      </c>
      <c r="C237" t="s">
        <v>16</v>
      </c>
      <c r="D237" t="s">
        <v>319</v>
      </c>
      <c r="F237" t="s">
        <v>328</v>
      </c>
      <c r="G237">
        <f t="shared" si="15"/>
        <v>1063</v>
      </c>
      <c r="H237" t="str">
        <f t="shared" si="16"/>
        <v>`          SPT</v>
      </c>
      <c r="I237" t="s">
        <v>529</v>
      </c>
      <c r="J237" t="str">
        <f t="shared" si="17"/>
        <v>&lt;G3E&gt;&lt;G2P&gt;&lt;G1P&gt;`          SPT</v>
      </c>
      <c r="S237" s="19">
        <v>1060</v>
      </c>
      <c r="T237" s="11" t="s">
        <v>285</v>
      </c>
      <c r="U237" t="s">
        <v>16</v>
      </c>
      <c r="V237" t="s">
        <v>320</v>
      </c>
      <c r="X237" t="s">
        <v>328</v>
      </c>
      <c r="Y237" s="23">
        <f t="shared" si="18"/>
        <v>1060</v>
      </c>
      <c r="Z237" s="23" t="str">
        <f t="shared" si="19"/>
        <v>`               ICT</v>
      </c>
    </row>
    <row r="238" spans="1:26" x14ac:dyDescent="0.25">
      <c r="A238" s="6" t="s">
        <v>311</v>
      </c>
      <c r="B238" s="8" t="s">
        <v>282</v>
      </c>
      <c r="C238" t="s">
        <v>5</v>
      </c>
      <c r="D238" t="s">
        <v>318</v>
      </c>
      <c r="E238" t="s">
        <v>322</v>
      </c>
      <c r="F238" t="s">
        <v>326</v>
      </c>
      <c r="G238" t="str">
        <f t="shared" si="15"/>
        <v>1033+1059+1060</v>
      </c>
      <c r="H238" t="str">
        <f t="shared" si="16"/>
        <v>`     TECHNICAL-VOCATIONAL-LIVELIHOOD STRAND (SUBNET)&lt;Q&gt;</v>
      </c>
      <c r="I238" t="s">
        <v>522</v>
      </c>
      <c r="J238" t="str">
        <f t="shared" si="17"/>
        <v>&lt;G1P&gt;`     TECHNICAL-VOCATIONAL-LIVELIHOOD STRAND (SUBNET)&lt;Q&gt;</v>
      </c>
      <c r="S238" s="19" t="s">
        <v>312</v>
      </c>
      <c r="T238" s="13" t="s">
        <v>286</v>
      </c>
      <c r="U238" t="s">
        <v>5</v>
      </c>
      <c r="V238" t="s">
        <v>318</v>
      </c>
      <c r="W238" t="s">
        <v>322</v>
      </c>
      <c r="X238" t="s">
        <v>326</v>
      </c>
      <c r="Y238" s="23" t="str">
        <f t="shared" si="18"/>
        <v>1034+1197+3002+3003</v>
      </c>
      <c r="Z238" s="23" t="str">
        <f t="shared" si="19"/>
        <v>`     SCIENCE, TECHNOLOGY, ENGINEERING, AND MATHEMATICS(SUBNET)&lt;Q&gt;</v>
      </c>
    </row>
    <row r="239" spans="1:26" x14ac:dyDescent="0.25">
      <c r="A239" s="6">
        <v>1033</v>
      </c>
      <c r="B239" s="7" t="s">
        <v>283</v>
      </c>
      <c r="C239" t="s">
        <v>16</v>
      </c>
      <c r="D239" t="s">
        <v>319</v>
      </c>
      <c r="F239" t="s">
        <v>328</v>
      </c>
      <c r="G239">
        <f t="shared" si="15"/>
        <v>1033</v>
      </c>
      <c r="H239" t="str">
        <f t="shared" si="16"/>
        <v>`          TVL</v>
      </c>
      <c r="I239" t="s">
        <v>528</v>
      </c>
      <c r="J239" t="str">
        <f t="shared" si="17"/>
        <v>&lt;G3B&gt;&lt;G2P&gt;&lt;G1P&gt;`          TVL</v>
      </c>
      <c r="S239" s="19">
        <v>1034</v>
      </c>
      <c r="T239" s="11" t="s">
        <v>287</v>
      </c>
      <c r="U239" t="s">
        <v>16</v>
      </c>
      <c r="V239" t="s">
        <v>320</v>
      </c>
      <c r="X239" t="s">
        <v>328</v>
      </c>
      <c r="Y239" s="23">
        <f t="shared" si="18"/>
        <v>1034</v>
      </c>
      <c r="Z239" s="23" t="str">
        <f t="shared" si="19"/>
        <v>`               STEM</v>
      </c>
    </row>
    <row r="240" spans="1:26" x14ac:dyDescent="0.25">
      <c r="A240" s="6">
        <v>1059</v>
      </c>
      <c r="B240" s="7" t="s">
        <v>284</v>
      </c>
      <c r="C240" t="s">
        <v>16</v>
      </c>
      <c r="D240" t="s">
        <v>319</v>
      </c>
      <c r="F240" t="s">
        <v>328</v>
      </c>
      <c r="G240">
        <f t="shared" si="15"/>
        <v>1059</v>
      </c>
      <c r="H240" t="str">
        <f t="shared" si="16"/>
        <v>`          Home Economics</v>
      </c>
      <c r="I240" t="s">
        <v>527</v>
      </c>
      <c r="J240" t="str">
        <f t="shared" si="17"/>
        <v>&lt;G2P&gt;&lt;G1P&gt;`          Home Economics</v>
      </c>
      <c r="S240" s="19">
        <v>1197</v>
      </c>
      <c r="T240" s="11" t="s">
        <v>288</v>
      </c>
      <c r="U240" t="s">
        <v>16</v>
      </c>
      <c r="V240" t="s">
        <v>320</v>
      </c>
      <c r="X240" t="s">
        <v>328</v>
      </c>
      <c r="Y240" s="23">
        <f t="shared" si="18"/>
        <v>1197</v>
      </c>
      <c r="Z240" s="23" t="str">
        <f t="shared" si="19"/>
        <v>`               STEAM</v>
      </c>
    </row>
    <row r="241" spans="1:26" x14ac:dyDescent="0.25">
      <c r="A241" s="6">
        <v>1060</v>
      </c>
      <c r="B241" s="7" t="s">
        <v>285</v>
      </c>
      <c r="C241" t="s">
        <v>16</v>
      </c>
      <c r="D241" t="s">
        <v>319</v>
      </c>
      <c r="F241" t="s">
        <v>328</v>
      </c>
      <c r="G241">
        <f t="shared" si="15"/>
        <v>1060</v>
      </c>
      <c r="H241" t="str">
        <f t="shared" si="16"/>
        <v>`          ICT</v>
      </c>
      <c r="I241" t="s">
        <v>529</v>
      </c>
      <c r="J241" t="str">
        <f t="shared" si="17"/>
        <v>&lt;G3E&gt;&lt;G2P&gt;&lt;G1P&gt;`          ICT</v>
      </c>
      <c r="S241" s="19">
        <v>3002</v>
      </c>
      <c r="T241" s="11" t="s">
        <v>289</v>
      </c>
      <c r="U241" t="s">
        <v>16</v>
      </c>
      <c r="V241" t="s">
        <v>320</v>
      </c>
      <c r="X241" t="s">
        <v>328</v>
      </c>
      <c r="Y241" s="23">
        <f t="shared" si="18"/>
        <v>3002</v>
      </c>
      <c r="Z241" s="23" t="str">
        <f t="shared" si="19"/>
        <v>`               STE</v>
      </c>
    </row>
    <row r="242" spans="1:26" x14ac:dyDescent="0.25">
      <c r="A242" s="6" t="s">
        <v>312</v>
      </c>
      <c r="B242" s="8" t="s">
        <v>286</v>
      </c>
      <c r="C242" t="s">
        <v>5</v>
      </c>
      <c r="D242" t="s">
        <v>318</v>
      </c>
      <c r="E242" t="s">
        <v>322</v>
      </c>
      <c r="F242" t="s">
        <v>326</v>
      </c>
      <c r="G242" t="str">
        <f t="shared" si="15"/>
        <v>1034+1197+3002+3003</v>
      </c>
      <c r="H242" t="str">
        <f t="shared" si="16"/>
        <v>`     SCIENCE, TECHNOLOGY, ENGINEERING, AND MATHEMATICS(SUBNET)&lt;Q&gt;</v>
      </c>
      <c r="I242" t="s">
        <v>522</v>
      </c>
      <c r="J242" t="str">
        <f t="shared" si="17"/>
        <v>&lt;G1P&gt;`     SCIENCE, TECHNOLOGY, ENGINEERING, AND MATHEMATICS(SUBNET)&lt;Q&gt;</v>
      </c>
      <c r="S242" s="19">
        <v>3003</v>
      </c>
      <c r="T242" s="11" t="s">
        <v>290</v>
      </c>
      <c r="U242" t="s">
        <v>16</v>
      </c>
      <c r="V242" t="s">
        <v>320</v>
      </c>
      <c r="X242" t="s">
        <v>328</v>
      </c>
      <c r="Y242" s="23">
        <f t="shared" si="18"/>
        <v>3003</v>
      </c>
      <c r="Z242" s="23" t="str">
        <f t="shared" si="19"/>
        <v>`               STM</v>
      </c>
    </row>
    <row r="243" spans="1:26" x14ac:dyDescent="0.25">
      <c r="A243" s="6">
        <v>1034</v>
      </c>
      <c r="B243" s="7" t="s">
        <v>287</v>
      </c>
      <c r="C243" t="s">
        <v>16</v>
      </c>
      <c r="D243" t="s">
        <v>319</v>
      </c>
      <c r="F243" t="s">
        <v>328</v>
      </c>
      <c r="G243">
        <f t="shared" si="15"/>
        <v>1034</v>
      </c>
      <c r="H243" t="str">
        <f t="shared" si="16"/>
        <v>`          STEM</v>
      </c>
      <c r="I243" t="s">
        <v>528</v>
      </c>
      <c r="J243" t="str">
        <f t="shared" si="17"/>
        <v>&lt;G3B&gt;&lt;G2P&gt;&lt;G1P&gt;`          STEM</v>
      </c>
      <c r="S243" s="19" t="s">
        <v>313</v>
      </c>
      <c r="T243" s="13" t="s">
        <v>291</v>
      </c>
      <c r="U243" t="s">
        <v>5</v>
      </c>
      <c r="V243" t="s">
        <v>318</v>
      </c>
      <c r="W243" t="s">
        <v>322</v>
      </c>
      <c r="X243" t="s">
        <v>326</v>
      </c>
      <c r="Y243" s="23" t="str">
        <f t="shared" si="18"/>
        <v>1030+1031+1032</v>
      </c>
      <c r="Z243" s="23" t="str">
        <f t="shared" si="19"/>
        <v>`     OTHERS IN SENIOR HIGH SCHOOL (SUBNET)&lt;Q&gt;</v>
      </c>
    </row>
    <row r="244" spans="1:26" x14ac:dyDescent="0.25">
      <c r="A244" s="6">
        <v>1197</v>
      </c>
      <c r="B244" s="7" t="s">
        <v>288</v>
      </c>
      <c r="C244" t="s">
        <v>16</v>
      </c>
      <c r="D244" t="s">
        <v>319</v>
      </c>
      <c r="F244" t="s">
        <v>328</v>
      </c>
      <c r="G244">
        <f t="shared" si="15"/>
        <v>1197</v>
      </c>
      <c r="H244" t="str">
        <f t="shared" si="16"/>
        <v>`          STEAM</v>
      </c>
      <c r="I244" t="s">
        <v>527</v>
      </c>
      <c r="J244" t="str">
        <f t="shared" si="17"/>
        <v>&lt;G2P&gt;&lt;G1P&gt;`          STEAM</v>
      </c>
      <c r="S244" s="19">
        <v>1030</v>
      </c>
      <c r="T244" s="11" t="s">
        <v>292</v>
      </c>
      <c r="U244" t="s">
        <v>16</v>
      </c>
      <c r="V244" t="s">
        <v>320</v>
      </c>
      <c r="X244" t="s">
        <v>328</v>
      </c>
      <c r="Y244" s="23">
        <f t="shared" si="18"/>
        <v>1030</v>
      </c>
      <c r="Z244" s="23" t="str">
        <f t="shared" si="19"/>
        <v>`               Senior High School (Unspecified Strand)</v>
      </c>
    </row>
    <row r="245" spans="1:26" x14ac:dyDescent="0.25">
      <c r="A245" s="6">
        <v>3002</v>
      </c>
      <c r="B245" s="7" t="s">
        <v>289</v>
      </c>
      <c r="C245" t="s">
        <v>16</v>
      </c>
      <c r="D245" t="s">
        <v>319</v>
      </c>
      <c r="F245" t="s">
        <v>328</v>
      </c>
      <c r="G245">
        <f t="shared" si="15"/>
        <v>3002</v>
      </c>
      <c r="H245" t="str">
        <f t="shared" si="16"/>
        <v>`          STE</v>
      </c>
      <c r="I245" t="s">
        <v>527</v>
      </c>
      <c r="J245" t="str">
        <f t="shared" si="17"/>
        <v>&lt;G2P&gt;&lt;G1P&gt;`          STE</v>
      </c>
      <c r="S245" s="19">
        <v>1031</v>
      </c>
      <c r="T245" s="11" t="s">
        <v>293</v>
      </c>
      <c r="U245" t="s">
        <v>16</v>
      </c>
      <c r="V245" t="s">
        <v>320</v>
      </c>
      <c r="X245" t="s">
        <v>328</v>
      </c>
      <c r="Y245" s="23">
        <f t="shared" si="18"/>
        <v>1031</v>
      </c>
      <c r="Z245" s="23" t="str">
        <f t="shared" si="19"/>
        <v>`               Senior High School</v>
      </c>
    </row>
    <row r="246" spans="1:26" x14ac:dyDescent="0.25">
      <c r="A246" s="6">
        <v>3003</v>
      </c>
      <c r="B246" s="7" t="s">
        <v>290</v>
      </c>
      <c r="C246" t="s">
        <v>16</v>
      </c>
      <c r="D246" t="s">
        <v>319</v>
      </c>
      <c r="F246" t="s">
        <v>328</v>
      </c>
      <c r="G246">
        <f t="shared" si="15"/>
        <v>3003</v>
      </c>
      <c r="H246" t="str">
        <f t="shared" si="16"/>
        <v>`          STM</v>
      </c>
      <c r="I246" t="s">
        <v>529</v>
      </c>
      <c r="J246" t="str">
        <f t="shared" si="17"/>
        <v>&lt;G3E&gt;&lt;G2P&gt;&lt;G1P&gt;`          STM</v>
      </c>
      <c r="S246" s="19">
        <v>1032</v>
      </c>
      <c r="T246" s="11" t="s">
        <v>294</v>
      </c>
      <c r="U246" t="s">
        <v>16</v>
      </c>
      <c r="V246" t="s">
        <v>320</v>
      </c>
      <c r="X246" t="s">
        <v>328</v>
      </c>
      <c r="Y246" s="23">
        <f t="shared" si="18"/>
        <v>1032</v>
      </c>
      <c r="Z246" s="23" t="str">
        <f t="shared" si="19"/>
        <v>`               Senior High School Grade12</v>
      </c>
    </row>
    <row r="247" spans="1:26" x14ac:dyDescent="0.25">
      <c r="A247" s="6" t="s">
        <v>313</v>
      </c>
      <c r="B247" s="8" t="s">
        <v>291</v>
      </c>
      <c r="C247" t="s">
        <v>5</v>
      </c>
      <c r="D247" t="s">
        <v>318</v>
      </c>
      <c r="E247" t="s">
        <v>322</v>
      </c>
      <c r="F247" t="s">
        <v>326</v>
      </c>
      <c r="G247" t="str">
        <f t="shared" si="15"/>
        <v>1030+1031+1032</v>
      </c>
      <c r="H247" t="str">
        <f t="shared" si="16"/>
        <v>`     OTHERS IN SENIOR HIGH SCHOOL (SUBNET)&lt;Q&gt;</v>
      </c>
      <c r="I247" t="s">
        <v>522</v>
      </c>
      <c r="J247" t="str">
        <f t="shared" si="17"/>
        <v>&lt;G1P&gt;`     OTHERS IN SENIOR HIGH SCHOOL (SUBNET)&lt;Q&gt;</v>
      </c>
      <c r="S247" s="19" t="s">
        <v>314</v>
      </c>
      <c r="T247" s="13" t="s">
        <v>295</v>
      </c>
      <c r="U247" t="s">
        <v>5</v>
      </c>
      <c r="V247" t="s">
        <v>318</v>
      </c>
      <c r="W247" t="s">
        <v>322</v>
      </c>
      <c r="X247" t="s">
        <v>326</v>
      </c>
      <c r="Y247" s="23" t="str">
        <f t="shared" si="18"/>
        <v>1061+3103+3104</v>
      </c>
      <c r="Z247" s="23" t="str">
        <f t="shared" si="19"/>
        <v>`     OTHERS IN JUNIOR HIGH SCHOOL (SUBNET)&lt;Q&gt;</v>
      </c>
    </row>
    <row r="248" spans="1:26" x14ac:dyDescent="0.25">
      <c r="A248" s="6">
        <v>1030</v>
      </c>
      <c r="B248" s="7" t="s">
        <v>292</v>
      </c>
      <c r="C248" t="s">
        <v>16</v>
      </c>
      <c r="D248" t="s">
        <v>319</v>
      </c>
      <c r="F248" t="s">
        <v>328</v>
      </c>
      <c r="G248">
        <f t="shared" si="15"/>
        <v>1030</v>
      </c>
      <c r="H248" t="str">
        <f t="shared" si="16"/>
        <v>`          Senior High School (Unspecified Strand)</v>
      </c>
      <c r="I248" t="s">
        <v>528</v>
      </c>
      <c r="J248" t="str">
        <f t="shared" si="17"/>
        <v>&lt;G3B&gt;&lt;G2P&gt;&lt;G1P&gt;`          Senior High School (Unspecified Strand)</v>
      </c>
      <c r="S248" s="19">
        <v>1061</v>
      </c>
      <c r="T248" s="11" t="s">
        <v>296</v>
      </c>
      <c r="U248" t="s">
        <v>16</v>
      </c>
      <c r="V248" t="s">
        <v>320</v>
      </c>
      <c r="X248" t="s">
        <v>328</v>
      </c>
      <c r="Y248" s="23">
        <f t="shared" si="18"/>
        <v>1061</v>
      </c>
      <c r="Z248" s="23" t="str">
        <f t="shared" si="19"/>
        <v>`               Junior High School</v>
      </c>
    </row>
    <row r="249" spans="1:26" x14ac:dyDescent="0.25">
      <c r="A249" s="6">
        <v>1031</v>
      </c>
      <c r="B249" s="7" t="s">
        <v>293</v>
      </c>
      <c r="C249" t="s">
        <v>16</v>
      </c>
      <c r="D249" t="s">
        <v>319</v>
      </c>
      <c r="F249" t="s">
        <v>328</v>
      </c>
      <c r="G249">
        <f t="shared" si="15"/>
        <v>1031</v>
      </c>
      <c r="H249" t="str">
        <f t="shared" si="16"/>
        <v>`          Senior High School</v>
      </c>
      <c r="I249" t="s">
        <v>527</v>
      </c>
      <c r="J249" t="str">
        <f t="shared" si="17"/>
        <v>&lt;G2P&gt;&lt;G1P&gt;`          Senior High School</v>
      </c>
      <c r="S249" s="19">
        <v>3103</v>
      </c>
      <c r="T249" s="11" t="s">
        <v>297</v>
      </c>
      <c r="U249" t="s">
        <v>16</v>
      </c>
      <c r="V249" t="s">
        <v>320</v>
      </c>
      <c r="X249" t="s">
        <v>328</v>
      </c>
      <c r="Y249" s="23">
        <f t="shared" si="18"/>
        <v>3103</v>
      </c>
      <c r="Z249" s="23" t="str">
        <f t="shared" si="19"/>
        <v>`               Junior High School Grade 9</v>
      </c>
    </row>
    <row r="250" spans="1:26" x14ac:dyDescent="0.25">
      <c r="A250" s="6">
        <v>1032</v>
      </c>
      <c r="B250" s="7" t="s">
        <v>294</v>
      </c>
      <c r="C250" t="s">
        <v>16</v>
      </c>
      <c r="D250" t="s">
        <v>319</v>
      </c>
      <c r="F250" t="s">
        <v>328</v>
      </c>
      <c r="G250">
        <f t="shared" si="15"/>
        <v>1032</v>
      </c>
      <c r="H250" t="str">
        <f t="shared" si="16"/>
        <v>`          Senior High School Grade12</v>
      </c>
      <c r="I250" t="s">
        <v>529</v>
      </c>
      <c r="J250" t="str">
        <f t="shared" si="17"/>
        <v>&lt;G3E&gt;&lt;G2P&gt;&lt;G1P&gt;`          Senior High School Grade12</v>
      </c>
      <c r="S250" s="19">
        <v>3104</v>
      </c>
      <c r="T250" s="11" t="s">
        <v>298</v>
      </c>
      <c r="U250" t="s">
        <v>16</v>
      </c>
      <c r="V250" t="s">
        <v>320</v>
      </c>
      <c r="X250" t="s">
        <v>328</v>
      </c>
      <c r="Y250" s="23">
        <f t="shared" si="18"/>
        <v>3104</v>
      </c>
      <c r="Z250" s="23" t="str">
        <f t="shared" si="19"/>
        <v>`               Junior High School Grade 10</v>
      </c>
    </row>
    <row r="251" spans="1:26" ht="15.75" x14ac:dyDescent="0.25">
      <c r="A251" s="6" t="s">
        <v>314</v>
      </c>
      <c r="B251" s="8" t="s">
        <v>295</v>
      </c>
      <c r="C251" t="s">
        <v>5</v>
      </c>
      <c r="D251" t="s">
        <v>318</v>
      </c>
      <c r="E251" t="s">
        <v>322</v>
      </c>
      <c r="F251" t="s">
        <v>326</v>
      </c>
      <c r="G251" t="str">
        <f t="shared" si="15"/>
        <v>1061+3103+3104</v>
      </c>
      <c r="H251" t="str">
        <f t="shared" si="16"/>
        <v>`     OTHERS IN JUNIOR HIGH SCHOOL (SUBNET)&lt;Q&gt;</v>
      </c>
      <c r="I251" t="s">
        <v>522</v>
      </c>
      <c r="J251" t="str">
        <f t="shared" si="17"/>
        <v>&lt;G1P&gt;`     OTHERS IN JUNIOR HIGH SCHOOL (SUBNET)&lt;Q&gt;</v>
      </c>
      <c r="S251" s="19">
        <v>3118</v>
      </c>
      <c r="T251" s="12" t="s">
        <v>349</v>
      </c>
      <c r="U251" t="s">
        <v>6</v>
      </c>
      <c r="V251" t="s">
        <v>323</v>
      </c>
      <c r="W251" t="s">
        <v>322</v>
      </c>
      <c r="X251" t="s">
        <v>327</v>
      </c>
      <c r="Y251" s="23">
        <f t="shared" si="18"/>
        <v>3118</v>
      </c>
      <c r="Z251" s="23" t="str">
        <f t="shared" si="19"/>
        <v>`FOREIGN NON-MAJOR COURSE (NET)&lt;Q&gt;</v>
      </c>
    </row>
    <row r="252" spans="1:26" x14ac:dyDescent="0.25">
      <c r="A252" s="6">
        <v>1061</v>
      </c>
      <c r="B252" s="7" t="s">
        <v>296</v>
      </c>
      <c r="C252" t="s">
        <v>16</v>
      </c>
      <c r="D252" t="s">
        <v>319</v>
      </c>
      <c r="F252" t="s">
        <v>328</v>
      </c>
      <c r="G252">
        <f t="shared" si="15"/>
        <v>1061</v>
      </c>
      <c r="H252" t="str">
        <f t="shared" si="16"/>
        <v>`          Junior High School</v>
      </c>
      <c r="I252" t="s">
        <v>528</v>
      </c>
      <c r="J252" t="str">
        <f t="shared" si="17"/>
        <v>&lt;G3B&gt;&lt;G2P&gt;&lt;G1P&gt;`          Junior High School</v>
      </c>
      <c r="S252" s="19">
        <v>3118</v>
      </c>
      <c r="T252" s="11" t="s">
        <v>350</v>
      </c>
      <c r="U252" t="s">
        <v>16</v>
      </c>
      <c r="V252" t="s">
        <v>318</v>
      </c>
      <c r="X252" t="s">
        <v>326</v>
      </c>
      <c r="Y252" s="23">
        <f t="shared" si="18"/>
        <v>3118</v>
      </c>
      <c r="Z252" s="23" t="str">
        <f t="shared" si="19"/>
        <v>`     Non Major</v>
      </c>
    </row>
    <row r="253" spans="1:26" ht="15.75" x14ac:dyDescent="0.25">
      <c r="A253" s="6">
        <v>3103</v>
      </c>
      <c r="B253" s="7" t="s">
        <v>297</v>
      </c>
      <c r="C253" t="s">
        <v>16</v>
      </c>
      <c r="D253" t="s">
        <v>319</v>
      </c>
      <c r="F253" t="s">
        <v>328</v>
      </c>
      <c r="G253">
        <f t="shared" si="15"/>
        <v>3103</v>
      </c>
      <c r="H253" t="str">
        <f t="shared" si="16"/>
        <v>`          Junior High School Grade 9</v>
      </c>
      <c r="I253" t="s">
        <v>527</v>
      </c>
      <c r="J253" t="str">
        <f t="shared" si="17"/>
        <v>&lt;G2P&gt;&lt;G1P&gt;`          Junior High School Grade 9</v>
      </c>
      <c r="S253" s="19" t="s">
        <v>315</v>
      </c>
      <c r="T253" s="12" t="s">
        <v>299</v>
      </c>
      <c r="U253" t="s">
        <v>6</v>
      </c>
      <c r="V253" t="s">
        <v>323</v>
      </c>
      <c r="W253" t="s">
        <v>322</v>
      </c>
      <c r="X253" t="s">
        <v>327</v>
      </c>
      <c r="Y253" s="23" t="str">
        <f t="shared" si="18"/>
        <v>9995+9996+2001+2006+2007+2009+2010+2011+9999+1163+3094</v>
      </c>
      <c r="Z253" s="23" t="str">
        <f t="shared" si="19"/>
        <v>`UNSPECIFIED (NET)&lt;Q&gt;</v>
      </c>
    </row>
    <row r="254" spans="1:26" x14ac:dyDescent="0.25">
      <c r="A254" s="6">
        <v>3104</v>
      </c>
      <c r="B254" s="7" t="s">
        <v>298</v>
      </c>
      <c r="C254" t="s">
        <v>16</v>
      </c>
      <c r="D254" t="s">
        <v>319</v>
      </c>
      <c r="F254" t="s">
        <v>328</v>
      </c>
      <c r="G254">
        <f t="shared" si="15"/>
        <v>3104</v>
      </c>
      <c r="H254" t="str">
        <f t="shared" si="16"/>
        <v>`          Junior High School Grade 10</v>
      </c>
      <c r="I254" t="s">
        <v>529</v>
      </c>
      <c r="J254" t="str">
        <f t="shared" si="17"/>
        <v>&lt;G3E&gt;&lt;G2P&gt;&lt;G1P&gt;`          Junior High School Grade 10</v>
      </c>
      <c r="S254" s="19">
        <v>9995</v>
      </c>
      <c r="T254" s="11" t="s">
        <v>300</v>
      </c>
      <c r="U254" t="s">
        <v>16</v>
      </c>
      <c r="V254" t="s">
        <v>318</v>
      </c>
      <c r="X254" t="s">
        <v>326</v>
      </c>
      <c r="Y254" s="23">
        <f t="shared" si="18"/>
        <v>9995</v>
      </c>
      <c r="Z254" s="23" t="str">
        <f t="shared" si="19"/>
        <v>`     N/A</v>
      </c>
    </row>
    <row r="255" spans="1:26" ht="15.75" x14ac:dyDescent="0.25">
      <c r="A255" s="6">
        <v>3118</v>
      </c>
      <c r="B255" s="15" t="s">
        <v>349</v>
      </c>
      <c r="C255" t="s">
        <v>6</v>
      </c>
      <c r="D255" t="s">
        <v>323</v>
      </c>
      <c r="E255" t="s">
        <v>322</v>
      </c>
      <c r="F255" t="s">
        <v>327</v>
      </c>
      <c r="G255">
        <f t="shared" si="15"/>
        <v>3118</v>
      </c>
      <c r="H255" t="str">
        <f t="shared" si="16"/>
        <v>`FOREIGN NON-MAJOR COURSE (NET)&lt;Q&gt;</v>
      </c>
      <c r="I255" t="s">
        <v>519</v>
      </c>
      <c r="J255" t="str">
        <f t="shared" si="17"/>
        <v>&lt;G1E&gt;`FOREIGN NON-MAJOR COURSE (NET)&lt;Q&gt;</v>
      </c>
      <c r="S255" s="20" t="s">
        <v>301</v>
      </c>
      <c r="T255" s="10" t="s">
        <v>302</v>
      </c>
      <c r="U255" t="s">
        <v>16</v>
      </c>
      <c r="V255" t="s">
        <v>318</v>
      </c>
      <c r="X255" t="s">
        <v>326</v>
      </c>
      <c r="Y255" s="23" t="str">
        <f t="shared" si="18"/>
        <v>9996+2001+2006+2007+2009+2010+2011</v>
      </c>
      <c r="Z255" s="23" t="str">
        <f t="shared" si="19"/>
        <v>`     Can't say</v>
      </c>
    </row>
    <row r="256" spans="1:26" x14ac:dyDescent="0.25">
      <c r="A256" s="6">
        <v>3118</v>
      </c>
      <c r="B256" s="7" t="s">
        <v>350</v>
      </c>
      <c r="C256" t="s">
        <v>16</v>
      </c>
      <c r="D256" t="s">
        <v>318</v>
      </c>
      <c r="F256" t="s">
        <v>326</v>
      </c>
      <c r="G256">
        <f t="shared" si="15"/>
        <v>3118</v>
      </c>
      <c r="H256" t="str">
        <f t="shared" si="16"/>
        <v>`     Non Major</v>
      </c>
      <c r="I256" t="s">
        <v>522</v>
      </c>
      <c r="J256" t="str">
        <f t="shared" si="17"/>
        <v>&lt;G1P&gt;`     Non Major</v>
      </c>
      <c r="S256" s="19">
        <v>9999</v>
      </c>
      <c r="T256" s="11" t="s">
        <v>303</v>
      </c>
      <c r="U256" t="s">
        <v>16</v>
      </c>
      <c r="V256" t="s">
        <v>318</v>
      </c>
      <c r="X256" t="s">
        <v>326</v>
      </c>
      <c r="Y256" s="23">
        <f t="shared" si="18"/>
        <v>9999</v>
      </c>
      <c r="Z256" s="23" t="str">
        <f t="shared" si="19"/>
        <v>`     None</v>
      </c>
    </row>
    <row r="257" spans="1:26" ht="15.75" x14ac:dyDescent="0.25">
      <c r="A257" s="6" t="s">
        <v>315</v>
      </c>
      <c r="B257" s="15" t="s">
        <v>299</v>
      </c>
      <c r="C257" t="s">
        <v>6</v>
      </c>
      <c r="D257" t="s">
        <v>323</v>
      </c>
      <c r="E257" t="s">
        <v>322</v>
      </c>
      <c r="F257" t="s">
        <v>327</v>
      </c>
      <c r="G257" t="str">
        <f t="shared" si="15"/>
        <v>9995+9996+2001+2006+2007+2009+2010+2011+9999+1163+3094</v>
      </c>
      <c r="H257" t="str">
        <f t="shared" si="16"/>
        <v>`UNSPECIFIED (NET)&lt;Q&gt;</v>
      </c>
      <c r="J257" t="str">
        <f t="shared" si="17"/>
        <v>`UNSPECIFIED (NET)&lt;Q&gt;</v>
      </c>
      <c r="S257" s="19">
        <v>1163</v>
      </c>
      <c r="T257" s="11" t="s">
        <v>304</v>
      </c>
      <c r="U257" t="s">
        <v>16</v>
      </c>
      <c r="V257" t="s">
        <v>318</v>
      </c>
      <c r="X257" t="s">
        <v>326</v>
      </c>
      <c r="Y257" s="23">
        <f t="shared" si="18"/>
        <v>1163</v>
      </c>
      <c r="Z257" s="23" t="str">
        <f t="shared" si="19"/>
        <v>`     BS CH MSE</v>
      </c>
    </row>
    <row r="258" spans="1:26" x14ac:dyDescent="0.25">
      <c r="A258" s="6">
        <v>9995</v>
      </c>
      <c r="B258" s="7" t="s">
        <v>300</v>
      </c>
      <c r="C258" t="s">
        <v>16</v>
      </c>
      <c r="D258" t="s">
        <v>318</v>
      </c>
      <c r="F258" t="s">
        <v>326</v>
      </c>
      <c r="G258">
        <f t="shared" si="15"/>
        <v>9995</v>
      </c>
      <c r="H258" t="str">
        <f t="shared" si="16"/>
        <v>`     N/A</v>
      </c>
      <c r="I258" t="s">
        <v>520</v>
      </c>
      <c r="J258" t="str">
        <f t="shared" ref="J258:J262" si="20">_xlfn.CONCAT(I258,H258)</f>
        <v>&lt;G2B&gt;&lt;G1P&gt;`     N/A</v>
      </c>
      <c r="S258" s="19">
        <v>3094</v>
      </c>
      <c r="T258" s="11" t="s">
        <v>305</v>
      </c>
      <c r="U258" t="s">
        <v>16</v>
      </c>
      <c r="V258" t="s">
        <v>318</v>
      </c>
      <c r="X258" t="s">
        <v>326</v>
      </c>
      <c r="Y258" s="23">
        <f t="shared" si="18"/>
        <v>3094</v>
      </c>
      <c r="Z258" s="23" t="str">
        <f t="shared" si="19"/>
        <v>`     Sports track</v>
      </c>
    </row>
    <row r="259" spans="1:26" x14ac:dyDescent="0.25">
      <c r="A259" s="4" t="s">
        <v>301</v>
      </c>
      <c r="B259" s="5" t="s">
        <v>302</v>
      </c>
      <c r="C259" t="s">
        <v>16</v>
      </c>
      <c r="D259" t="s">
        <v>318</v>
      </c>
      <c r="F259" t="s">
        <v>326</v>
      </c>
      <c r="G259" t="str">
        <f t="shared" si="15"/>
        <v>9996+2001+2006+2007+2009+2010+2011</v>
      </c>
      <c r="H259" t="str">
        <f t="shared" si="16"/>
        <v>`     Can't say</v>
      </c>
      <c r="I259" t="s">
        <v>522</v>
      </c>
      <c r="J259" t="str">
        <f t="shared" si="20"/>
        <v>&lt;G1P&gt;`     Can't say</v>
      </c>
    </row>
    <row r="260" spans="1:26" x14ac:dyDescent="0.25">
      <c r="A260" s="6">
        <v>9999</v>
      </c>
      <c r="B260" s="7" t="s">
        <v>303</v>
      </c>
      <c r="C260" t="s">
        <v>16</v>
      </c>
      <c r="D260" t="s">
        <v>318</v>
      </c>
      <c r="F260" t="s">
        <v>326</v>
      </c>
      <c r="G260">
        <f t="shared" si="15"/>
        <v>9999</v>
      </c>
      <c r="H260" t="str">
        <f t="shared" si="16"/>
        <v>`     None</v>
      </c>
      <c r="I260" t="s">
        <v>522</v>
      </c>
      <c r="J260" t="str">
        <f t="shared" si="20"/>
        <v>&lt;G1P&gt;`     None</v>
      </c>
    </row>
    <row r="261" spans="1:26" x14ac:dyDescent="0.25">
      <c r="A261" s="6">
        <v>1163</v>
      </c>
      <c r="B261" s="7" t="s">
        <v>304</v>
      </c>
      <c r="C261" t="s">
        <v>16</v>
      </c>
      <c r="D261" t="s">
        <v>318</v>
      </c>
      <c r="F261" t="s">
        <v>326</v>
      </c>
      <c r="G261">
        <f t="shared" si="15"/>
        <v>1163</v>
      </c>
      <c r="H261" t="str">
        <f t="shared" si="16"/>
        <v>`     BS CH MSE</v>
      </c>
      <c r="I261" t="s">
        <v>522</v>
      </c>
      <c r="J261" t="str">
        <f t="shared" si="20"/>
        <v>&lt;G1P&gt;`     BS CH MSE</v>
      </c>
    </row>
    <row r="262" spans="1:26" x14ac:dyDescent="0.25">
      <c r="A262" s="6">
        <v>3094</v>
      </c>
      <c r="B262" s="7" t="s">
        <v>305</v>
      </c>
      <c r="C262" t="s">
        <v>16</v>
      </c>
      <c r="D262" t="s">
        <v>318</v>
      </c>
      <c r="F262" t="s">
        <v>326</v>
      </c>
      <c r="G262">
        <f t="shared" si="15"/>
        <v>3094</v>
      </c>
      <c r="H262" t="str">
        <f t="shared" si="16"/>
        <v>`     Sports track</v>
      </c>
      <c r="I262" t="s">
        <v>521</v>
      </c>
      <c r="J262" t="str">
        <f t="shared" si="20"/>
        <v>&lt;G2E&gt;&lt;G1P&gt;`     Sports track</v>
      </c>
    </row>
  </sheetData>
  <autoFilter ref="A1:Z262" xr:uid="{45D52B2E-1604-4E0E-8F16-3341D3525EB2}"/>
  <conditionalFormatting sqref="A2:A262">
    <cfRule type="duplicateValues" dxfId="186" priority="8"/>
    <cfRule type="duplicateValues" dxfId="185" priority="9"/>
  </conditionalFormatting>
  <conditionalFormatting sqref="A31:A33">
    <cfRule type="duplicateValues" dxfId="184" priority="34"/>
    <cfRule type="duplicateValues" dxfId="183" priority="36"/>
    <cfRule type="duplicateValues" dxfId="182" priority="38"/>
  </conditionalFormatting>
  <conditionalFormatting sqref="A34:A36">
    <cfRule type="duplicateValues" dxfId="181" priority="63"/>
    <cfRule type="duplicateValues" dxfId="180" priority="64"/>
    <cfRule type="duplicateValues" dxfId="179" priority="65"/>
    <cfRule type="duplicateValues" dxfId="178" priority="66"/>
  </conditionalFormatting>
  <conditionalFormatting sqref="A63:A64">
    <cfRule type="duplicateValues" dxfId="177" priority="46"/>
    <cfRule type="duplicateValues" dxfId="176" priority="48"/>
    <cfRule type="duplicateValues" dxfId="175" priority="50"/>
  </conditionalFormatting>
  <conditionalFormatting sqref="A111">
    <cfRule type="duplicateValues" dxfId="174" priority="28"/>
    <cfRule type="duplicateValues" dxfId="173" priority="30"/>
    <cfRule type="duplicateValues" dxfId="172" priority="32"/>
  </conditionalFormatting>
  <conditionalFormatting sqref="A140:A142 A112">
    <cfRule type="duplicateValues" dxfId="171" priority="10"/>
    <cfRule type="duplicateValues" dxfId="170" priority="11"/>
    <cfRule type="duplicateValues" dxfId="169" priority="13"/>
    <cfRule type="duplicateValues" dxfId="168" priority="15"/>
    <cfRule type="duplicateValues" dxfId="167" priority="17"/>
  </conditionalFormatting>
  <conditionalFormatting sqref="A222:A262 A143:A220 A105:A111 A113:A139 A2:A102">
    <cfRule type="duplicateValues" dxfId="166" priority="18"/>
  </conditionalFormatting>
  <conditionalFormatting sqref="A167:A168">
    <cfRule type="duplicateValues" dxfId="165" priority="40"/>
    <cfRule type="duplicateValues" dxfId="164" priority="42"/>
    <cfRule type="duplicateValues" dxfId="163" priority="44"/>
  </conditionalFormatting>
  <conditionalFormatting sqref="A218:A219">
    <cfRule type="duplicateValues" dxfId="162" priority="19"/>
    <cfRule type="duplicateValues" dxfId="161" priority="21"/>
    <cfRule type="duplicateValues" dxfId="160" priority="23"/>
    <cfRule type="duplicateValues" dxfId="159" priority="25"/>
  </conditionalFormatting>
  <conditionalFormatting sqref="A220 A97:A102 A65">
    <cfRule type="duplicateValues" dxfId="158" priority="57"/>
    <cfRule type="duplicateValues" dxfId="157" priority="58"/>
    <cfRule type="duplicateValues" dxfId="156" priority="59"/>
  </conditionalFormatting>
  <conditionalFormatting sqref="A221 A103:A104">
    <cfRule type="duplicateValues" dxfId="155" priority="70"/>
    <cfRule type="duplicateValues" dxfId="154" priority="71"/>
    <cfRule type="duplicateValues" dxfId="153" priority="72"/>
    <cfRule type="duplicateValues" dxfId="152" priority="73"/>
    <cfRule type="duplicateValues" dxfId="151" priority="74"/>
  </conditionalFormatting>
  <conditionalFormatting sqref="A222:A262 A220 A37:A102 A2:A33 A105:A111 A113:A139 A143:A217">
    <cfRule type="duplicateValues" dxfId="150" priority="26"/>
  </conditionalFormatting>
  <conditionalFormatting sqref="A226:A262 A222:A224 A169:A217 A66:A96 A2:A30 A37:A62 A105:A110 A113:A139 A143:A166">
    <cfRule type="duplicateValues" dxfId="149" priority="52"/>
    <cfRule type="duplicateValues" dxfId="148" priority="54"/>
  </conditionalFormatting>
  <conditionalFormatting sqref="A260:A262 A226:A258 A222:A224 A2:A30 A66:A96 A169:A217 A37:A62 A105:A110 A113:A139 A143:A166">
    <cfRule type="duplicateValues" dxfId="147" priority="56"/>
  </conditionalFormatting>
  <conditionalFormatting sqref="B31:B33">
    <cfRule type="duplicateValues" dxfId="146" priority="33"/>
    <cfRule type="duplicateValues" dxfId="145" priority="35"/>
    <cfRule type="duplicateValues" dxfId="144" priority="37"/>
  </conditionalFormatting>
  <conditionalFormatting sqref="B34:B36">
    <cfRule type="duplicateValues" dxfId="143" priority="67"/>
    <cfRule type="duplicateValues" dxfId="142" priority="68"/>
    <cfRule type="duplicateValues" dxfId="141" priority="69"/>
  </conditionalFormatting>
  <conditionalFormatting sqref="B63:B64">
    <cfRule type="duplicateValues" dxfId="140" priority="45"/>
    <cfRule type="duplicateValues" dxfId="139" priority="47"/>
    <cfRule type="duplicateValues" dxfId="138" priority="49"/>
  </conditionalFormatting>
  <conditionalFormatting sqref="B111">
    <cfRule type="duplicateValues" dxfId="137" priority="27"/>
    <cfRule type="duplicateValues" dxfId="136" priority="29"/>
    <cfRule type="duplicateValues" dxfId="135" priority="31"/>
  </conditionalFormatting>
  <conditionalFormatting sqref="B140:B142 B112">
    <cfRule type="duplicateValues" dxfId="134" priority="12"/>
    <cfRule type="duplicateValues" dxfId="133" priority="14"/>
    <cfRule type="duplicateValues" dxfId="132" priority="16"/>
  </conditionalFormatting>
  <conditionalFormatting sqref="B167:B168">
    <cfRule type="duplicateValues" dxfId="131" priority="39"/>
    <cfRule type="duplicateValues" dxfId="130" priority="41"/>
    <cfRule type="duplicateValues" dxfId="129" priority="43"/>
  </conditionalFormatting>
  <conditionalFormatting sqref="B218:B219">
    <cfRule type="duplicateValues" dxfId="128" priority="20"/>
    <cfRule type="duplicateValues" dxfId="127" priority="22"/>
    <cfRule type="duplicateValues" dxfId="126" priority="24"/>
  </conditionalFormatting>
  <conditionalFormatting sqref="B220 B97:B102 B65">
    <cfRule type="duplicateValues" dxfId="125" priority="60"/>
    <cfRule type="duplicateValues" dxfId="124" priority="61"/>
    <cfRule type="duplicateValues" dxfId="123" priority="62"/>
  </conditionalFormatting>
  <conditionalFormatting sqref="B221 B103:B104">
    <cfRule type="duplicateValues" dxfId="122" priority="75"/>
    <cfRule type="duplicateValues" dxfId="121" priority="76"/>
    <cfRule type="duplicateValues" dxfId="120" priority="77"/>
  </conditionalFormatting>
  <conditionalFormatting sqref="B226:B262 B222:B224 B169:B217 B66:B96 B2:B30 B37:B62 B105:B110 B113:B139 B143:B166">
    <cfRule type="duplicateValues" dxfId="119" priority="51"/>
    <cfRule type="duplicateValues" dxfId="118" priority="53"/>
    <cfRule type="duplicateValues" dxfId="117" priority="55"/>
  </conditionalFormatting>
  <conditionalFormatting sqref="A225">
    <cfRule type="duplicateValues" dxfId="116" priority="3"/>
    <cfRule type="duplicateValues" dxfId="115" priority="5"/>
    <cfRule type="duplicateValues" dxfId="114" priority="7"/>
  </conditionalFormatting>
  <conditionalFormatting sqref="B225">
    <cfRule type="duplicateValues" dxfId="113" priority="2"/>
    <cfRule type="duplicateValues" dxfId="112" priority="4"/>
    <cfRule type="duplicateValues" dxfId="111" priority="6"/>
  </conditionalFormatting>
  <conditionalFormatting sqref="A259">
    <cfRule type="duplicateValues" dxfId="110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oncatCodesForNET">
                <anchor moveWithCells="1">
                  <from>
                    <xdr:col>19</xdr:col>
                    <xdr:colOff>1457325</xdr:colOff>
                    <xdr:row>1</xdr:row>
                    <xdr:rowOff>238125</xdr:rowOff>
                  </from>
                  <to>
                    <xdr:col>20</xdr:col>
                    <xdr:colOff>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D6872-002F-4A4B-9177-3DE1C3F21B47}">
  <sheetPr codeName="Sheet1"/>
  <dimension ref="A1:J149"/>
  <sheetViews>
    <sheetView workbookViewId="0">
      <selection activeCell="G1" sqref="G1:G1048576"/>
    </sheetView>
  </sheetViews>
  <sheetFormatPr defaultRowHeight="15" x14ac:dyDescent="0.25"/>
  <cols>
    <col min="1" max="1" width="30" customWidth="1"/>
    <col min="2" max="2" width="36.28515625" bestFit="1" customWidth="1"/>
    <col min="3" max="3" width="14.85546875" customWidth="1"/>
    <col min="4" max="4" width="4.140625" bestFit="1" customWidth="1"/>
    <col min="5" max="5" width="4.42578125" bestFit="1" customWidth="1"/>
    <col min="6" max="6" width="9.7109375" customWidth="1"/>
    <col min="7" max="7" width="12.5703125" customWidth="1"/>
    <col min="8" max="8" width="41.85546875" customWidth="1"/>
    <col min="9" max="9" width="12.28515625" customWidth="1"/>
    <col min="10" max="10" width="47.5703125" customWidth="1"/>
  </cols>
  <sheetData>
    <row r="1" spans="1:10" x14ac:dyDescent="0.25">
      <c r="A1" s="29" t="s">
        <v>533</v>
      </c>
      <c r="B1" s="29" t="s">
        <v>536</v>
      </c>
      <c r="C1" s="2" t="s">
        <v>534</v>
      </c>
      <c r="D1" t="s">
        <v>535</v>
      </c>
      <c r="E1" t="s">
        <v>325</v>
      </c>
      <c r="F1" t="s">
        <v>324</v>
      </c>
      <c r="G1" s="29" t="s">
        <v>13</v>
      </c>
      <c r="H1" s="29" t="s">
        <v>330</v>
      </c>
      <c r="I1" t="s">
        <v>523</v>
      </c>
      <c r="J1" t="s">
        <v>537</v>
      </c>
    </row>
    <row r="2" spans="1:10" x14ac:dyDescent="0.25">
      <c r="A2" s="30" t="s">
        <v>507</v>
      </c>
      <c r="B2" s="31" t="s">
        <v>366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33" si="0">IF(A2="","",A2)</f>
        <v>1003+1014+1041+1049+1058</v>
      </c>
      <c r="H2" t="str">
        <f t="shared" ref="H2:H33" si="1">_xlfn.CONCAT(D2,SUBSTITUTE(B2,"""","`"""),E2)</f>
        <v>`HEART EVANGELISTA (NET)&lt;Q&gt;</v>
      </c>
      <c r="I2" t="s">
        <v>518</v>
      </c>
      <c r="J2" t="str">
        <f t="shared" ref="J2:J33" si="2">_xlfn.CONCAT(I2,H2)</f>
        <v>&lt;G1B&gt;`HEART EVANGELISTA (NET)&lt;Q&gt;</v>
      </c>
    </row>
    <row r="3" spans="1:10" x14ac:dyDescent="0.25">
      <c r="A3" s="16">
        <v>1003</v>
      </c>
      <c r="B3" s="11" t="s">
        <v>367</v>
      </c>
      <c r="C3" t="s">
        <v>16</v>
      </c>
      <c r="D3" t="s">
        <v>318</v>
      </c>
      <c r="F3" t="s">
        <v>326</v>
      </c>
      <c r="G3">
        <f t="shared" si="0"/>
        <v>1003</v>
      </c>
      <c r="H3" t="str">
        <f t="shared" si="1"/>
        <v>`     Heart Evangelista</v>
      </c>
      <c r="I3" t="s">
        <v>520</v>
      </c>
      <c r="J3" t="str">
        <f t="shared" si="2"/>
        <v>&lt;G2B&gt;&lt;G1P&gt;`     Heart Evangelista</v>
      </c>
    </row>
    <row r="4" spans="1:10" x14ac:dyDescent="0.25">
      <c r="A4" s="16">
        <v>1014</v>
      </c>
      <c r="B4" s="11" t="s">
        <v>368</v>
      </c>
      <c r="C4" t="s">
        <v>16</v>
      </c>
      <c r="D4" t="s">
        <v>318</v>
      </c>
      <c r="F4" t="s">
        <v>326</v>
      </c>
      <c r="G4">
        <f t="shared" si="0"/>
        <v>1014</v>
      </c>
      <c r="H4" t="str">
        <f t="shared" si="1"/>
        <v>`     GStock of Heart</v>
      </c>
      <c r="I4" t="s">
        <v>522</v>
      </c>
      <c r="J4" t="str">
        <f t="shared" si="2"/>
        <v>&lt;G1P&gt;`     GStock of Heart</v>
      </c>
    </row>
    <row r="5" spans="1:10" x14ac:dyDescent="0.25">
      <c r="A5" s="16">
        <v>1041</v>
      </c>
      <c r="B5" s="11" t="s">
        <v>369</v>
      </c>
      <c r="C5" t="s">
        <v>16</v>
      </c>
      <c r="D5" t="s">
        <v>318</v>
      </c>
      <c r="F5" t="s">
        <v>326</v>
      </c>
      <c r="G5">
        <f t="shared" si="0"/>
        <v>1041</v>
      </c>
      <c r="H5" t="str">
        <f t="shared" si="1"/>
        <v>`     On Heart Evanglista eating `"kwek-kwek`"</v>
      </c>
      <c r="I5" t="s">
        <v>522</v>
      </c>
      <c r="J5" t="str">
        <f t="shared" si="2"/>
        <v>&lt;G1P&gt;`     On Heart Evanglista eating `"kwek-kwek`"</v>
      </c>
    </row>
    <row r="6" spans="1:10" x14ac:dyDescent="0.25">
      <c r="A6" s="16">
        <v>1049</v>
      </c>
      <c r="B6" s="11" t="s">
        <v>370</v>
      </c>
      <c r="C6" t="s">
        <v>16</v>
      </c>
      <c r="D6" t="s">
        <v>318</v>
      </c>
      <c r="F6" t="s">
        <v>326</v>
      </c>
      <c r="G6">
        <f t="shared" si="0"/>
        <v>1049</v>
      </c>
      <c r="H6" t="str">
        <f t="shared" si="1"/>
        <v>`     On Heart Evanglista travelling abroad</v>
      </c>
      <c r="I6" t="s">
        <v>522</v>
      </c>
      <c r="J6" t="str">
        <f t="shared" si="2"/>
        <v>&lt;G1P&gt;`     On Heart Evanglista travelling abroad</v>
      </c>
    </row>
    <row r="7" spans="1:10" x14ac:dyDescent="0.25">
      <c r="A7" s="16">
        <v>1058</v>
      </c>
      <c r="B7" s="11" t="s">
        <v>371</v>
      </c>
      <c r="C7" t="s">
        <v>16</v>
      </c>
      <c r="D7" t="s">
        <v>318</v>
      </c>
      <c r="F7" t="s">
        <v>326</v>
      </c>
      <c r="G7">
        <f t="shared" si="0"/>
        <v>1058</v>
      </c>
      <c r="H7" t="str">
        <f t="shared" si="1"/>
        <v>`     TV commercial of Heart Evangelista</v>
      </c>
      <c r="I7" t="s">
        <v>521</v>
      </c>
      <c r="J7" t="str">
        <f t="shared" si="2"/>
        <v>&lt;G2E&gt;&lt;G1P&gt;`     TV commercial of Heart Evangelista</v>
      </c>
    </row>
    <row r="8" spans="1:10" x14ac:dyDescent="0.25">
      <c r="A8" s="30">
        <v>1064</v>
      </c>
      <c r="B8" s="31" t="s">
        <v>372</v>
      </c>
      <c r="C8" t="s">
        <v>6</v>
      </c>
      <c r="D8" t="s">
        <v>323</v>
      </c>
      <c r="E8" t="s">
        <v>322</v>
      </c>
      <c r="F8" t="s">
        <v>327</v>
      </c>
      <c r="G8">
        <f t="shared" si="0"/>
        <v>1064</v>
      </c>
      <c r="H8" t="str">
        <f t="shared" si="1"/>
        <v>`ALDEN RICHARD (NET)&lt;Q&gt;</v>
      </c>
      <c r="J8" t="str">
        <f t="shared" si="2"/>
        <v>`ALDEN RICHARD (NET)&lt;Q&gt;</v>
      </c>
    </row>
    <row r="9" spans="1:10" x14ac:dyDescent="0.25">
      <c r="A9" s="16">
        <v>1064</v>
      </c>
      <c r="B9" s="11" t="s">
        <v>373</v>
      </c>
      <c r="C9" t="s">
        <v>16</v>
      </c>
      <c r="D9" t="s">
        <v>318</v>
      </c>
      <c r="F9" t="s">
        <v>326</v>
      </c>
      <c r="G9">
        <f t="shared" si="0"/>
        <v>1064</v>
      </c>
      <c r="H9" t="str">
        <f t="shared" si="1"/>
        <v>`     Alden Richard</v>
      </c>
      <c r="I9" t="s">
        <v>522</v>
      </c>
      <c r="J9" t="str">
        <f t="shared" si="2"/>
        <v>&lt;G1P&gt;`     Alden Richard</v>
      </c>
    </row>
    <row r="10" spans="1:10" x14ac:dyDescent="0.25">
      <c r="A10" s="30">
        <v>1069</v>
      </c>
      <c r="B10" s="31" t="s">
        <v>374</v>
      </c>
      <c r="C10" t="s">
        <v>6</v>
      </c>
      <c r="D10" t="s">
        <v>323</v>
      </c>
      <c r="E10" t="s">
        <v>322</v>
      </c>
      <c r="F10" t="s">
        <v>327</v>
      </c>
      <c r="G10">
        <f t="shared" si="0"/>
        <v>1069</v>
      </c>
      <c r="H10" t="str">
        <f t="shared" si="1"/>
        <v>`CHIZ ESCUDERO (NET)&lt;Q&gt;</v>
      </c>
      <c r="J10" t="str">
        <f t="shared" si="2"/>
        <v>`CHIZ ESCUDERO (NET)&lt;Q&gt;</v>
      </c>
    </row>
    <row r="11" spans="1:10" x14ac:dyDescent="0.25">
      <c r="A11" s="16">
        <v>1069</v>
      </c>
      <c r="B11" s="11" t="s">
        <v>375</v>
      </c>
      <c r="C11" t="s">
        <v>16</v>
      </c>
      <c r="D11" t="s">
        <v>318</v>
      </c>
      <c r="F11" t="s">
        <v>326</v>
      </c>
      <c r="G11">
        <f t="shared" si="0"/>
        <v>1069</v>
      </c>
      <c r="H11" t="str">
        <f t="shared" si="1"/>
        <v>`     Chiz Escudero</v>
      </c>
      <c r="I11" t="s">
        <v>522</v>
      </c>
      <c r="J11" t="str">
        <f t="shared" si="2"/>
        <v>&lt;G1P&gt;`     Chiz Escudero</v>
      </c>
    </row>
    <row r="12" spans="1:10" x14ac:dyDescent="0.25">
      <c r="A12" s="30">
        <v>1070</v>
      </c>
      <c r="B12" s="31" t="s">
        <v>376</v>
      </c>
      <c r="C12" t="s">
        <v>6</v>
      </c>
      <c r="D12" t="s">
        <v>323</v>
      </c>
      <c r="E12" t="s">
        <v>322</v>
      </c>
      <c r="F12" t="s">
        <v>327</v>
      </c>
      <c r="G12">
        <f t="shared" si="0"/>
        <v>1070</v>
      </c>
      <c r="H12" t="str">
        <f t="shared" si="1"/>
        <v>`SARAH GERONIMO (NET)&lt;Q&gt;</v>
      </c>
      <c r="J12" t="str">
        <f t="shared" si="2"/>
        <v>`SARAH GERONIMO (NET)&lt;Q&gt;</v>
      </c>
    </row>
    <row r="13" spans="1:10" x14ac:dyDescent="0.25">
      <c r="A13" s="16">
        <v>1070</v>
      </c>
      <c r="B13" s="11" t="s">
        <v>377</v>
      </c>
      <c r="C13" t="s">
        <v>16</v>
      </c>
      <c r="D13" t="s">
        <v>318</v>
      </c>
      <c r="F13" t="s">
        <v>326</v>
      </c>
      <c r="G13">
        <f t="shared" si="0"/>
        <v>1070</v>
      </c>
      <c r="H13" t="str">
        <f t="shared" si="1"/>
        <v xml:space="preserve">`     Sarah Geronimo </v>
      </c>
      <c r="I13" t="s">
        <v>522</v>
      </c>
      <c r="J13" t="str">
        <f t="shared" si="2"/>
        <v xml:space="preserve">&lt;G1P&gt;`     Sarah Geronimo </v>
      </c>
    </row>
    <row r="14" spans="1:10" x14ac:dyDescent="0.25">
      <c r="A14" s="30">
        <v>1071</v>
      </c>
      <c r="B14" s="31" t="s">
        <v>378</v>
      </c>
      <c r="C14" t="s">
        <v>6</v>
      </c>
      <c r="D14" t="s">
        <v>323</v>
      </c>
      <c r="E14" t="s">
        <v>322</v>
      </c>
      <c r="F14" t="s">
        <v>327</v>
      </c>
      <c r="G14">
        <f t="shared" si="0"/>
        <v>1071</v>
      </c>
      <c r="H14" t="str">
        <f t="shared" si="1"/>
        <v>`TONI GONZAGA (NET)&lt;Q&gt;</v>
      </c>
      <c r="J14" t="str">
        <f t="shared" si="2"/>
        <v>`TONI GONZAGA (NET)&lt;Q&gt;</v>
      </c>
    </row>
    <row r="15" spans="1:10" x14ac:dyDescent="0.25">
      <c r="A15" s="16">
        <v>1071</v>
      </c>
      <c r="B15" s="11" t="s">
        <v>379</v>
      </c>
      <c r="C15" t="s">
        <v>16</v>
      </c>
      <c r="D15" t="s">
        <v>318</v>
      </c>
      <c r="F15" t="s">
        <v>326</v>
      </c>
      <c r="G15">
        <f t="shared" si="0"/>
        <v>1071</v>
      </c>
      <c r="H15" t="str">
        <f t="shared" si="1"/>
        <v>`     Toni Gonzaga ads</v>
      </c>
      <c r="I15" t="s">
        <v>522</v>
      </c>
      <c r="J15" t="str">
        <f t="shared" si="2"/>
        <v>&lt;G1P&gt;`     Toni Gonzaga ads</v>
      </c>
    </row>
    <row r="16" spans="1:10" x14ac:dyDescent="0.25">
      <c r="A16" s="30">
        <v>1072</v>
      </c>
      <c r="B16" s="31" t="s">
        <v>380</v>
      </c>
      <c r="C16" t="s">
        <v>6</v>
      </c>
      <c r="D16" t="s">
        <v>323</v>
      </c>
      <c r="E16" t="s">
        <v>322</v>
      </c>
      <c r="F16" t="s">
        <v>327</v>
      </c>
      <c r="G16">
        <f t="shared" si="0"/>
        <v>1072</v>
      </c>
      <c r="H16" t="str">
        <f t="shared" si="1"/>
        <v>`JOSHUA GARCIA (NET)&lt;Q&gt;</v>
      </c>
      <c r="J16" t="str">
        <f t="shared" si="2"/>
        <v>`JOSHUA GARCIA (NET)&lt;Q&gt;</v>
      </c>
    </row>
    <row r="17" spans="1:10" x14ac:dyDescent="0.25">
      <c r="A17" s="16">
        <v>1072</v>
      </c>
      <c r="B17" s="11" t="s">
        <v>381</v>
      </c>
      <c r="C17" t="s">
        <v>16</v>
      </c>
      <c r="D17" t="s">
        <v>318</v>
      </c>
      <c r="F17" t="s">
        <v>326</v>
      </c>
      <c r="G17">
        <f t="shared" si="0"/>
        <v>1072</v>
      </c>
      <c r="H17" t="str">
        <f t="shared" si="1"/>
        <v xml:space="preserve">`     Joshua Garcia </v>
      </c>
      <c r="I17" t="s">
        <v>522</v>
      </c>
      <c r="J17" t="str">
        <f t="shared" si="2"/>
        <v xml:space="preserve">&lt;G1P&gt;`     Joshua Garcia </v>
      </c>
    </row>
    <row r="18" spans="1:10" x14ac:dyDescent="0.25">
      <c r="A18" s="30">
        <v>1082</v>
      </c>
      <c r="B18" s="31" t="s">
        <v>382</v>
      </c>
      <c r="C18" t="s">
        <v>6</v>
      </c>
      <c r="D18" t="s">
        <v>323</v>
      </c>
      <c r="E18" t="s">
        <v>322</v>
      </c>
      <c r="F18" t="s">
        <v>327</v>
      </c>
      <c r="G18">
        <f t="shared" si="0"/>
        <v>1082</v>
      </c>
      <c r="H18" t="str">
        <f t="shared" si="1"/>
        <v>`ANN CURTIS (NET)&lt;Q&gt;</v>
      </c>
      <c r="J18" t="str">
        <f t="shared" si="2"/>
        <v>`ANN CURTIS (NET)&lt;Q&gt;</v>
      </c>
    </row>
    <row r="19" spans="1:10" x14ac:dyDescent="0.25">
      <c r="A19" s="24">
        <v>1082</v>
      </c>
      <c r="B19" s="35" t="s">
        <v>383</v>
      </c>
      <c r="C19" t="s">
        <v>16</v>
      </c>
      <c r="D19" t="s">
        <v>318</v>
      </c>
      <c r="F19" t="s">
        <v>326</v>
      </c>
      <c r="G19">
        <f t="shared" si="0"/>
        <v>1082</v>
      </c>
      <c r="H19" t="str">
        <f t="shared" si="1"/>
        <v>`     Anne curtis</v>
      </c>
      <c r="I19" t="s">
        <v>522</v>
      </c>
      <c r="J19" t="str">
        <f t="shared" si="2"/>
        <v>&lt;G1P&gt;`     Anne curtis</v>
      </c>
    </row>
    <row r="20" spans="1:10" x14ac:dyDescent="0.25">
      <c r="A20" s="30" t="s">
        <v>508</v>
      </c>
      <c r="B20" s="31" t="s">
        <v>384</v>
      </c>
      <c r="C20" t="s">
        <v>6</v>
      </c>
      <c r="D20" t="s">
        <v>323</v>
      </c>
      <c r="E20" t="s">
        <v>322</v>
      </c>
      <c r="F20" t="s">
        <v>327</v>
      </c>
      <c r="G20" t="str">
        <f t="shared" si="0"/>
        <v>1024+1085+1101</v>
      </c>
      <c r="H20" t="str">
        <f t="shared" si="1"/>
        <v>`CONVENIENCE (NET)&lt;Q&gt;</v>
      </c>
      <c r="J20" t="str">
        <f t="shared" si="2"/>
        <v>`CONVENIENCE (NET)&lt;Q&gt;</v>
      </c>
    </row>
    <row r="21" spans="1:10" x14ac:dyDescent="0.25">
      <c r="A21" s="16">
        <v>1024</v>
      </c>
      <c r="B21" s="11" t="s">
        <v>385</v>
      </c>
      <c r="C21" t="s">
        <v>16</v>
      </c>
      <c r="D21" t="s">
        <v>318</v>
      </c>
      <c r="F21" t="s">
        <v>326</v>
      </c>
      <c r="G21">
        <f t="shared" si="0"/>
        <v>1024</v>
      </c>
      <c r="H21" t="str">
        <f t="shared" si="1"/>
        <v>`     Convenient</v>
      </c>
      <c r="I21" t="s">
        <v>520</v>
      </c>
      <c r="J21" t="str">
        <f t="shared" si="2"/>
        <v>&lt;G2B&gt;&lt;G1P&gt;`     Convenient</v>
      </c>
    </row>
    <row r="22" spans="1:10" x14ac:dyDescent="0.25">
      <c r="A22" s="24">
        <v>1085</v>
      </c>
      <c r="B22" s="35" t="s">
        <v>386</v>
      </c>
      <c r="C22" t="s">
        <v>16</v>
      </c>
      <c r="D22" t="s">
        <v>318</v>
      </c>
      <c r="F22" t="s">
        <v>326</v>
      </c>
      <c r="G22">
        <f t="shared" si="0"/>
        <v>1085</v>
      </c>
      <c r="H22" t="str">
        <f t="shared" si="1"/>
        <v>`     Cheap service charge or fee</v>
      </c>
      <c r="I22" t="s">
        <v>522</v>
      </c>
      <c r="J22" t="str">
        <f t="shared" si="2"/>
        <v>&lt;G1P&gt;`     Cheap service charge or fee</v>
      </c>
    </row>
    <row r="23" spans="1:10" x14ac:dyDescent="0.25">
      <c r="A23" s="25">
        <v>1101</v>
      </c>
      <c r="B23" s="36" t="s">
        <v>387</v>
      </c>
      <c r="C23" t="s">
        <v>16</v>
      </c>
      <c r="D23" t="s">
        <v>318</v>
      </c>
      <c r="F23" t="s">
        <v>326</v>
      </c>
      <c r="G23">
        <f t="shared" si="0"/>
        <v>1101</v>
      </c>
      <c r="H23" t="str">
        <f t="shared" si="1"/>
        <v>`     Easy to transact</v>
      </c>
      <c r="I23" t="s">
        <v>521</v>
      </c>
      <c r="J23" t="str">
        <f t="shared" si="2"/>
        <v>&lt;G2E&gt;&lt;G1P&gt;`     Easy to transact</v>
      </c>
    </row>
    <row r="24" spans="1:10" x14ac:dyDescent="0.25">
      <c r="A24" s="30">
        <v>1004</v>
      </c>
      <c r="B24" s="31" t="s">
        <v>388</v>
      </c>
      <c r="C24" t="s">
        <v>6</v>
      </c>
      <c r="D24" t="s">
        <v>323</v>
      </c>
      <c r="E24" t="s">
        <v>322</v>
      </c>
      <c r="F24" t="s">
        <v>327</v>
      </c>
      <c r="G24">
        <f t="shared" si="0"/>
        <v>1004</v>
      </c>
      <c r="H24" t="str">
        <f t="shared" si="1"/>
        <v>`GCASH CAN BE USED ANYWHERE (NET)&lt;Q&gt;</v>
      </c>
      <c r="J24" t="str">
        <f t="shared" si="2"/>
        <v>`GCASH CAN BE USED ANYWHERE (NET)&lt;Q&gt;</v>
      </c>
    </row>
    <row r="25" spans="1:10" x14ac:dyDescent="0.25">
      <c r="A25" s="16">
        <v>1004</v>
      </c>
      <c r="B25" s="11" t="s">
        <v>389</v>
      </c>
      <c r="C25" t="s">
        <v>16</v>
      </c>
      <c r="D25" t="s">
        <v>318</v>
      </c>
      <c r="F25" t="s">
        <v>326</v>
      </c>
      <c r="G25">
        <f t="shared" si="0"/>
        <v>1004</v>
      </c>
      <c r="H25" t="str">
        <f t="shared" si="1"/>
        <v>`     GCash can be used anywhere</v>
      </c>
      <c r="I25" t="s">
        <v>522</v>
      </c>
      <c r="J25" t="str">
        <f t="shared" si="2"/>
        <v>&lt;G1P&gt;`     GCash can be used anywhere</v>
      </c>
    </row>
    <row r="26" spans="1:10" x14ac:dyDescent="0.25">
      <c r="A26" s="30">
        <v>1013</v>
      </c>
      <c r="B26" s="31" t="s">
        <v>390</v>
      </c>
      <c r="C26" t="s">
        <v>6</v>
      </c>
      <c r="D26" t="s">
        <v>323</v>
      </c>
      <c r="E26" t="s">
        <v>322</v>
      </c>
      <c r="F26" t="s">
        <v>327</v>
      </c>
      <c r="G26">
        <f t="shared" si="0"/>
        <v>1013</v>
      </c>
      <c r="H26" t="str">
        <f t="shared" si="1"/>
        <v>`GCASH CARD (NET)&lt;Q&gt;</v>
      </c>
      <c r="J26" t="str">
        <f t="shared" si="2"/>
        <v>`GCASH CARD (NET)&lt;Q&gt;</v>
      </c>
    </row>
    <row r="27" spans="1:10" x14ac:dyDescent="0.25">
      <c r="A27" s="16">
        <v>1013</v>
      </c>
      <c r="B27" s="11" t="s">
        <v>391</v>
      </c>
      <c r="C27" t="s">
        <v>16</v>
      </c>
      <c r="D27" t="s">
        <v>318</v>
      </c>
      <c r="F27" t="s">
        <v>326</v>
      </c>
      <c r="G27">
        <f t="shared" si="0"/>
        <v>1013</v>
      </c>
      <c r="H27" t="str">
        <f t="shared" si="1"/>
        <v>`     GCash card</v>
      </c>
      <c r="I27" t="s">
        <v>522</v>
      </c>
      <c r="J27" t="str">
        <f t="shared" si="2"/>
        <v>&lt;G1P&gt;`     GCash card</v>
      </c>
    </row>
    <row r="28" spans="1:10" x14ac:dyDescent="0.25">
      <c r="A28" s="32">
        <v>1018</v>
      </c>
      <c r="B28" s="31" t="s">
        <v>392</v>
      </c>
      <c r="C28" t="s">
        <v>6</v>
      </c>
      <c r="D28" t="s">
        <v>323</v>
      </c>
      <c r="E28" t="s">
        <v>322</v>
      </c>
      <c r="F28" t="s">
        <v>327</v>
      </c>
      <c r="G28">
        <f t="shared" si="0"/>
        <v>1018</v>
      </c>
      <c r="H28" t="str">
        <f t="shared" si="1"/>
        <v>`CASH IN/CASH OUT (NET)&lt;Q&gt;</v>
      </c>
      <c r="J28" t="str">
        <f t="shared" si="2"/>
        <v>`CASH IN/CASH OUT (NET)&lt;Q&gt;</v>
      </c>
    </row>
    <row r="29" spans="1:10" x14ac:dyDescent="0.25">
      <c r="A29" s="27">
        <v>1018</v>
      </c>
      <c r="B29" s="11" t="s">
        <v>393</v>
      </c>
      <c r="C29" t="s">
        <v>16</v>
      </c>
      <c r="D29" t="s">
        <v>318</v>
      </c>
      <c r="F29" t="s">
        <v>326</v>
      </c>
      <c r="G29">
        <f t="shared" si="0"/>
        <v>1018</v>
      </c>
      <c r="H29" t="str">
        <f t="shared" si="1"/>
        <v>`     Have cash in/ cash out in sari sari store</v>
      </c>
      <c r="I29" t="s">
        <v>522</v>
      </c>
      <c r="J29" t="str">
        <f t="shared" si="2"/>
        <v>&lt;G1P&gt;`     Have cash in/ cash out in sari sari store</v>
      </c>
    </row>
    <row r="30" spans="1:10" x14ac:dyDescent="0.25">
      <c r="A30" s="32" t="s">
        <v>509</v>
      </c>
      <c r="B30" s="31" t="s">
        <v>394</v>
      </c>
      <c r="C30" t="s">
        <v>6</v>
      </c>
      <c r="D30" t="s">
        <v>323</v>
      </c>
      <c r="E30" t="s">
        <v>322</v>
      </c>
      <c r="F30" t="s">
        <v>327</v>
      </c>
      <c r="G30" t="str">
        <f t="shared" si="0"/>
        <v>1007+1010+1115</v>
      </c>
      <c r="H30" t="str">
        <f t="shared" si="1"/>
        <v>`SENDING MONEY (NET)&lt;Q&gt;</v>
      </c>
      <c r="J30" t="str">
        <f t="shared" si="2"/>
        <v>`SENDING MONEY (NET)&lt;Q&gt;</v>
      </c>
    </row>
    <row r="31" spans="1:10" x14ac:dyDescent="0.25">
      <c r="A31" s="27">
        <v>1007</v>
      </c>
      <c r="B31" s="11" t="s">
        <v>395</v>
      </c>
      <c r="C31" t="s">
        <v>16</v>
      </c>
      <c r="D31" t="s">
        <v>318</v>
      </c>
      <c r="F31" t="s">
        <v>326</v>
      </c>
      <c r="G31">
        <f t="shared" si="0"/>
        <v>1007</v>
      </c>
      <c r="H31" t="str">
        <f t="shared" si="1"/>
        <v>`     About sending money</v>
      </c>
      <c r="I31" t="s">
        <v>520</v>
      </c>
      <c r="J31" t="str">
        <f t="shared" si="2"/>
        <v>&lt;G2B&gt;&lt;G1P&gt;`     About sending money</v>
      </c>
    </row>
    <row r="32" spans="1:10" x14ac:dyDescent="0.25">
      <c r="A32" s="27">
        <v>1010</v>
      </c>
      <c r="B32" s="11" t="s">
        <v>396</v>
      </c>
      <c r="C32" t="s">
        <v>16</v>
      </c>
      <c r="D32" t="s">
        <v>318</v>
      </c>
      <c r="F32" t="s">
        <v>326</v>
      </c>
      <c r="G32">
        <f t="shared" si="0"/>
        <v>1010</v>
      </c>
      <c r="H32" t="str">
        <f t="shared" si="1"/>
        <v>`     Quickly use for sending money</v>
      </c>
      <c r="I32" t="s">
        <v>522</v>
      </c>
      <c r="J32" t="str">
        <f t="shared" si="2"/>
        <v>&lt;G1P&gt;`     Quickly use for sending money</v>
      </c>
    </row>
    <row r="33" spans="1:10" x14ac:dyDescent="0.25">
      <c r="A33" s="28">
        <v>1115</v>
      </c>
      <c r="B33" s="36" t="s">
        <v>397</v>
      </c>
      <c r="C33" t="s">
        <v>16</v>
      </c>
      <c r="D33" t="s">
        <v>318</v>
      </c>
      <c r="F33" t="s">
        <v>326</v>
      </c>
      <c r="G33">
        <f t="shared" si="0"/>
        <v>1115</v>
      </c>
      <c r="H33" t="str">
        <f t="shared" si="1"/>
        <v>`     Sending money using Gcash</v>
      </c>
      <c r="I33" t="s">
        <v>521</v>
      </c>
      <c r="J33" t="str">
        <f t="shared" si="2"/>
        <v>&lt;G2E&gt;&lt;G1P&gt;`     Sending money using Gcash</v>
      </c>
    </row>
    <row r="34" spans="1:10" x14ac:dyDescent="0.25">
      <c r="A34" s="32">
        <v>1031</v>
      </c>
      <c r="B34" s="31" t="s">
        <v>398</v>
      </c>
      <c r="C34" t="s">
        <v>6</v>
      </c>
      <c r="D34" t="s">
        <v>323</v>
      </c>
      <c r="E34" t="s">
        <v>322</v>
      </c>
      <c r="F34" t="s">
        <v>327</v>
      </c>
      <c r="G34">
        <f t="shared" ref="G34:G65" si="3">IF(A34="","",A34)</f>
        <v>1031</v>
      </c>
      <c r="H34" t="str">
        <f t="shared" ref="H34:H65" si="4">_xlfn.CONCAT(D34,SUBSTITUTE(B34,"""","`"""),E34)</f>
        <v>`RECEIVING MONEY (NET)&lt;Q&gt;</v>
      </c>
      <c r="J34" t="str">
        <f t="shared" ref="J34:J65" si="5">_xlfn.CONCAT(I34,H34)</f>
        <v>`RECEIVING MONEY (NET)&lt;Q&gt;</v>
      </c>
    </row>
    <row r="35" spans="1:10" x14ac:dyDescent="0.25">
      <c r="A35" s="27">
        <v>1031</v>
      </c>
      <c r="B35" s="11" t="s">
        <v>399</v>
      </c>
      <c r="C35" t="s">
        <v>16</v>
      </c>
      <c r="D35" t="s">
        <v>318</v>
      </c>
      <c r="F35" t="s">
        <v>326</v>
      </c>
      <c r="G35">
        <f t="shared" si="3"/>
        <v>1031</v>
      </c>
      <c r="H35" t="str">
        <f t="shared" si="4"/>
        <v>`     About receiving money</v>
      </c>
      <c r="I35" t="s">
        <v>522</v>
      </c>
      <c r="J35" t="str">
        <f t="shared" si="5"/>
        <v>&lt;G1P&gt;`     About receiving money</v>
      </c>
    </row>
    <row r="36" spans="1:10" x14ac:dyDescent="0.25">
      <c r="A36" s="32" t="s">
        <v>510</v>
      </c>
      <c r="B36" s="31" t="s">
        <v>400</v>
      </c>
      <c r="C36" t="s">
        <v>6</v>
      </c>
      <c r="D36" t="s">
        <v>323</v>
      </c>
      <c r="E36" t="s">
        <v>322</v>
      </c>
      <c r="F36" t="s">
        <v>327</v>
      </c>
      <c r="G36" t="str">
        <f t="shared" si="3"/>
        <v>1009+1023+1051+1046+1059+1084+1087</v>
      </c>
      <c r="H36" t="str">
        <f t="shared" si="4"/>
        <v>`PAYMENT (NET)&lt;Q&gt;</v>
      </c>
      <c r="J36" t="str">
        <f t="shared" si="5"/>
        <v>`PAYMENT (NET)&lt;Q&gt;</v>
      </c>
    </row>
    <row r="37" spans="1:10" x14ac:dyDescent="0.25">
      <c r="A37" s="27">
        <v>1009</v>
      </c>
      <c r="B37" s="11" t="s">
        <v>401</v>
      </c>
      <c r="C37" t="s">
        <v>16</v>
      </c>
      <c r="D37" t="s">
        <v>318</v>
      </c>
      <c r="F37" t="s">
        <v>326</v>
      </c>
      <c r="G37">
        <f t="shared" si="3"/>
        <v>1009</v>
      </c>
      <c r="H37" t="str">
        <f t="shared" si="4"/>
        <v>`     Scanning GCash QR code as payment to vendors</v>
      </c>
      <c r="I37" t="s">
        <v>520</v>
      </c>
      <c r="J37" t="str">
        <f t="shared" si="5"/>
        <v>&lt;G2B&gt;&lt;G1P&gt;`     Scanning GCash QR code as payment to vendors</v>
      </c>
    </row>
    <row r="38" spans="1:10" x14ac:dyDescent="0.25">
      <c r="A38" s="16">
        <v>1023</v>
      </c>
      <c r="B38" s="11" t="s">
        <v>402</v>
      </c>
      <c r="C38" t="s">
        <v>16</v>
      </c>
      <c r="D38" t="s">
        <v>318</v>
      </c>
      <c r="F38" t="s">
        <v>326</v>
      </c>
      <c r="G38">
        <f t="shared" si="3"/>
        <v>1023</v>
      </c>
      <c r="H38" t="str">
        <f t="shared" si="4"/>
        <v>`     Purchase of food in restaurant using GCash</v>
      </c>
      <c r="I38" t="s">
        <v>522</v>
      </c>
      <c r="J38" t="str">
        <f t="shared" si="5"/>
        <v>&lt;G1P&gt;`     Purchase of food in restaurant using GCash</v>
      </c>
    </row>
    <row r="39" spans="1:10" x14ac:dyDescent="0.25">
      <c r="A39" s="16">
        <v>1051</v>
      </c>
      <c r="B39" s="11" t="s">
        <v>403</v>
      </c>
      <c r="C39" t="s">
        <v>16</v>
      </c>
      <c r="D39" t="s">
        <v>318</v>
      </c>
      <c r="F39" t="s">
        <v>326</v>
      </c>
      <c r="G39">
        <f t="shared" si="3"/>
        <v>1051</v>
      </c>
      <c r="H39" t="str">
        <f t="shared" si="4"/>
        <v>`     Paying bills</v>
      </c>
      <c r="I39" t="s">
        <v>522</v>
      </c>
      <c r="J39" t="str">
        <f t="shared" si="5"/>
        <v>&lt;G1P&gt;`     Paying bills</v>
      </c>
    </row>
    <row r="40" spans="1:10" x14ac:dyDescent="0.25">
      <c r="A40" s="16">
        <v>1046</v>
      </c>
      <c r="B40" s="11" t="s">
        <v>404</v>
      </c>
      <c r="C40" t="s">
        <v>16</v>
      </c>
      <c r="D40" t="s">
        <v>318</v>
      </c>
      <c r="F40" t="s">
        <v>326</v>
      </c>
      <c r="G40">
        <f t="shared" si="3"/>
        <v>1046</v>
      </c>
      <c r="H40" t="str">
        <f t="shared" si="4"/>
        <v>`     Usage of QR code</v>
      </c>
      <c r="I40" t="s">
        <v>522</v>
      </c>
      <c r="J40" t="str">
        <f t="shared" si="5"/>
        <v>&lt;G1P&gt;`     Usage of QR code</v>
      </c>
    </row>
    <row r="41" spans="1:10" x14ac:dyDescent="0.25">
      <c r="A41" s="16">
        <v>1059</v>
      </c>
      <c r="B41" s="11" t="s">
        <v>405</v>
      </c>
      <c r="C41" t="s">
        <v>16</v>
      </c>
      <c r="D41" t="s">
        <v>318</v>
      </c>
      <c r="F41" t="s">
        <v>326</v>
      </c>
      <c r="G41">
        <f t="shared" si="3"/>
        <v>1059</v>
      </c>
      <c r="H41" t="str">
        <f t="shared" si="4"/>
        <v>`     Can be use for payment in stores</v>
      </c>
      <c r="I41" t="s">
        <v>522</v>
      </c>
      <c r="J41" t="str">
        <f t="shared" si="5"/>
        <v>&lt;G1P&gt;`     Can be use for payment in stores</v>
      </c>
    </row>
    <row r="42" spans="1:10" x14ac:dyDescent="0.25">
      <c r="A42" s="24">
        <v>1084</v>
      </c>
      <c r="B42" s="35" t="s">
        <v>406</v>
      </c>
      <c r="C42" t="s">
        <v>16</v>
      </c>
      <c r="D42" t="s">
        <v>318</v>
      </c>
      <c r="F42" t="s">
        <v>326</v>
      </c>
      <c r="G42">
        <f t="shared" si="3"/>
        <v>1084</v>
      </c>
      <c r="H42" t="str">
        <f t="shared" si="4"/>
        <v>`     Easy payment online using Gcash</v>
      </c>
      <c r="I42" t="s">
        <v>522</v>
      </c>
      <c r="J42" t="str">
        <f t="shared" si="5"/>
        <v>&lt;G1P&gt;`     Easy payment online using Gcash</v>
      </c>
    </row>
    <row r="43" spans="1:10" x14ac:dyDescent="0.25">
      <c r="A43" s="24">
        <v>1087</v>
      </c>
      <c r="B43" s="35" t="s">
        <v>407</v>
      </c>
      <c r="C43" t="s">
        <v>16</v>
      </c>
      <c r="D43" t="s">
        <v>318</v>
      </c>
      <c r="F43" t="s">
        <v>326</v>
      </c>
      <c r="G43">
        <f t="shared" si="3"/>
        <v>1087</v>
      </c>
      <c r="H43" t="str">
        <f t="shared" si="4"/>
        <v>`     How Gcash is use for payment</v>
      </c>
      <c r="I43" t="s">
        <v>521</v>
      </c>
      <c r="J43" t="str">
        <f t="shared" si="5"/>
        <v>&lt;G2E&gt;&lt;G1P&gt;`     How Gcash is use for payment</v>
      </c>
    </row>
    <row r="44" spans="1:10" x14ac:dyDescent="0.25">
      <c r="A44" s="30" t="s">
        <v>511</v>
      </c>
      <c r="B44" s="31" t="s">
        <v>408</v>
      </c>
      <c r="C44" t="s">
        <v>6</v>
      </c>
      <c r="D44" t="s">
        <v>323</v>
      </c>
      <c r="E44" t="s">
        <v>322</v>
      </c>
      <c r="F44" t="s">
        <v>327</v>
      </c>
      <c r="G44" t="str">
        <f t="shared" si="3"/>
        <v>1012+1045</v>
      </c>
      <c r="H44" t="str">
        <f t="shared" si="4"/>
        <v>`LOANS (NET)&lt;Q&gt;</v>
      </c>
      <c r="J44" t="str">
        <f t="shared" si="5"/>
        <v>`LOANS (NET)&lt;Q&gt;</v>
      </c>
    </row>
    <row r="45" spans="1:10" x14ac:dyDescent="0.25">
      <c r="A45" s="16">
        <v>1012</v>
      </c>
      <c r="B45" s="11" t="s">
        <v>409</v>
      </c>
      <c r="C45" t="s">
        <v>16</v>
      </c>
      <c r="D45" t="s">
        <v>318</v>
      </c>
      <c r="F45" t="s">
        <v>326</v>
      </c>
      <c r="G45">
        <f t="shared" si="3"/>
        <v>1012</v>
      </c>
      <c r="H45" t="str">
        <f t="shared" si="4"/>
        <v>`     Loans</v>
      </c>
      <c r="I45" t="s">
        <v>520</v>
      </c>
      <c r="J45" t="str">
        <f t="shared" si="5"/>
        <v>&lt;G2B&gt;&lt;G1P&gt;`     Loans</v>
      </c>
    </row>
    <row r="46" spans="1:10" x14ac:dyDescent="0.25">
      <c r="A46" s="16">
        <v>1045</v>
      </c>
      <c r="B46" s="11" t="s">
        <v>410</v>
      </c>
      <c r="C46" t="s">
        <v>16</v>
      </c>
      <c r="D46" t="s">
        <v>318</v>
      </c>
      <c r="F46" t="s">
        <v>326</v>
      </c>
      <c r="G46">
        <f t="shared" si="3"/>
        <v>1045</v>
      </c>
      <c r="H46" t="str">
        <f t="shared" si="4"/>
        <v>`     Payment of loans</v>
      </c>
      <c r="I46" t="s">
        <v>521</v>
      </c>
      <c r="J46" t="str">
        <f t="shared" si="5"/>
        <v>&lt;G2E&gt;&lt;G1P&gt;`     Payment of loans</v>
      </c>
    </row>
    <row r="47" spans="1:10" x14ac:dyDescent="0.25">
      <c r="A47" s="30">
        <v>1021</v>
      </c>
      <c r="B47" s="31" t="s">
        <v>411</v>
      </c>
      <c r="C47" t="s">
        <v>6</v>
      </c>
      <c r="D47" t="s">
        <v>323</v>
      </c>
      <c r="E47" t="s">
        <v>322</v>
      </c>
      <c r="F47" t="s">
        <v>327</v>
      </c>
      <c r="G47">
        <f t="shared" si="3"/>
        <v>1021</v>
      </c>
      <c r="H47" t="str">
        <f t="shared" si="4"/>
        <v>`FAST TRANSACTION (NET)&lt;Q&gt;</v>
      </c>
      <c r="J47" t="str">
        <f t="shared" si="5"/>
        <v>`FAST TRANSACTION (NET)&lt;Q&gt;</v>
      </c>
    </row>
    <row r="48" spans="1:10" x14ac:dyDescent="0.25">
      <c r="A48" s="16">
        <v>1021</v>
      </c>
      <c r="B48" s="11" t="s">
        <v>412</v>
      </c>
      <c r="C48" t="s">
        <v>16</v>
      </c>
      <c r="D48" t="s">
        <v>318</v>
      </c>
      <c r="F48" t="s">
        <v>326</v>
      </c>
      <c r="G48">
        <f t="shared" si="3"/>
        <v>1021</v>
      </c>
      <c r="H48" t="str">
        <f t="shared" si="4"/>
        <v>`     Fast transaction</v>
      </c>
      <c r="I48" t="s">
        <v>522</v>
      </c>
      <c r="J48" t="str">
        <f t="shared" si="5"/>
        <v>&lt;G1P&gt;`     Fast transaction</v>
      </c>
    </row>
    <row r="49" spans="1:10" x14ac:dyDescent="0.25">
      <c r="A49" s="30">
        <v>1002</v>
      </c>
      <c r="B49" s="31" t="s">
        <v>413</v>
      </c>
      <c r="C49" t="s">
        <v>6</v>
      </c>
      <c r="D49" t="s">
        <v>323</v>
      </c>
      <c r="E49" t="s">
        <v>322</v>
      </c>
      <c r="F49" t="s">
        <v>327</v>
      </c>
      <c r="G49">
        <f t="shared" si="3"/>
        <v>1002</v>
      </c>
      <c r="H49" t="str">
        <f t="shared" si="4"/>
        <v>`ALMA GCASH STORIES (NET)&lt;Q&gt;</v>
      </c>
      <c r="J49" t="str">
        <f t="shared" si="5"/>
        <v>`ALMA GCASH STORIES (NET)&lt;Q&gt;</v>
      </c>
    </row>
    <row r="50" spans="1:10" x14ac:dyDescent="0.25">
      <c r="A50" s="16">
        <v>1002</v>
      </c>
      <c r="B50" s="11" t="s">
        <v>414</v>
      </c>
      <c r="C50" t="s">
        <v>16</v>
      </c>
      <c r="D50" t="s">
        <v>318</v>
      </c>
      <c r="F50" t="s">
        <v>326</v>
      </c>
      <c r="G50">
        <f t="shared" si="3"/>
        <v>1002</v>
      </c>
      <c r="H50" t="str">
        <f t="shared" si="4"/>
        <v>`     The woman whose house was flooded because of the typhoon</v>
      </c>
      <c r="I50" t="s">
        <v>522</v>
      </c>
      <c r="J50" t="str">
        <f t="shared" si="5"/>
        <v>&lt;G1P&gt;`     The woman whose house was flooded because of the typhoon</v>
      </c>
    </row>
    <row r="51" spans="1:10" x14ac:dyDescent="0.25">
      <c r="A51" s="30" t="s">
        <v>512</v>
      </c>
      <c r="B51" s="31" t="s">
        <v>415</v>
      </c>
      <c r="C51" t="s">
        <v>6</v>
      </c>
      <c r="D51" t="s">
        <v>323</v>
      </c>
      <c r="E51" t="s">
        <v>322</v>
      </c>
      <c r="F51" t="s">
        <v>327</v>
      </c>
      <c r="G51" t="str">
        <f t="shared" si="3"/>
        <v>1017+1029+1105</v>
      </c>
      <c r="H51" t="str">
        <f t="shared" si="4"/>
        <v>`SAFETY AND SECURITY (NET)&lt;Q&gt;</v>
      </c>
      <c r="J51" t="str">
        <f t="shared" si="5"/>
        <v>`SAFETY AND SECURITY (NET)&lt;Q&gt;</v>
      </c>
    </row>
    <row r="52" spans="1:10" x14ac:dyDescent="0.25">
      <c r="A52" s="16">
        <v>1017</v>
      </c>
      <c r="B52" s="11" t="s">
        <v>416</v>
      </c>
      <c r="C52" t="s">
        <v>16</v>
      </c>
      <c r="D52" t="s">
        <v>318</v>
      </c>
      <c r="F52" t="s">
        <v>326</v>
      </c>
      <c r="G52">
        <f t="shared" si="3"/>
        <v>1017</v>
      </c>
      <c r="H52" t="str">
        <f t="shared" si="4"/>
        <v>`     Security of apps</v>
      </c>
      <c r="I52" t="s">
        <v>520</v>
      </c>
      <c r="J52" t="str">
        <f t="shared" si="5"/>
        <v>&lt;G2B&gt;&lt;G1P&gt;`     Security of apps</v>
      </c>
    </row>
    <row r="53" spans="1:10" x14ac:dyDescent="0.25">
      <c r="A53" s="16">
        <v>1029</v>
      </c>
      <c r="B53" s="11" t="s">
        <v>417</v>
      </c>
      <c r="C53" t="s">
        <v>16</v>
      </c>
      <c r="D53" t="s">
        <v>318</v>
      </c>
      <c r="F53" t="s">
        <v>326</v>
      </c>
      <c r="G53">
        <f t="shared" si="3"/>
        <v>1029</v>
      </c>
      <c r="H53" t="str">
        <f t="shared" si="4"/>
        <v>`     About scam</v>
      </c>
      <c r="I53" t="s">
        <v>522</v>
      </c>
      <c r="J53" t="str">
        <f t="shared" si="5"/>
        <v>&lt;G1P&gt;`     About scam</v>
      </c>
    </row>
    <row r="54" spans="1:10" x14ac:dyDescent="0.25">
      <c r="A54" s="25">
        <v>1105</v>
      </c>
      <c r="B54" s="36" t="s">
        <v>418</v>
      </c>
      <c r="C54" t="s">
        <v>16</v>
      </c>
      <c r="D54" t="s">
        <v>318</v>
      </c>
      <c r="F54" t="s">
        <v>326</v>
      </c>
      <c r="G54">
        <f t="shared" si="3"/>
        <v>1105</v>
      </c>
      <c r="H54" t="str">
        <f t="shared" si="4"/>
        <v>`     Inluence them that Gcash app is safe to use</v>
      </c>
      <c r="I54" t="s">
        <v>521</v>
      </c>
      <c r="J54" t="str">
        <f t="shared" si="5"/>
        <v>&lt;G2E&gt;&lt;G1P&gt;`     Inluence them that Gcash app is safe to use</v>
      </c>
    </row>
    <row r="55" spans="1:10" x14ac:dyDescent="0.25">
      <c r="A55" s="30" t="s">
        <v>513</v>
      </c>
      <c r="B55" s="31" t="s">
        <v>419</v>
      </c>
      <c r="C55" t="s">
        <v>6</v>
      </c>
      <c r="D55" t="s">
        <v>323</v>
      </c>
      <c r="E55" t="s">
        <v>322</v>
      </c>
      <c r="F55" t="s">
        <v>327</v>
      </c>
      <c r="G55" t="str">
        <f t="shared" si="3"/>
        <v>1025+1043+1047</v>
      </c>
      <c r="H55" t="str">
        <f t="shared" si="4"/>
        <v>`SAVINGS  (NET)&lt;Q&gt;</v>
      </c>
      <c r="J55" t="str">
        <f t="shared" si="5"/>
        <v>`SAVINGS  (NET)&lt;Q&gt;</v>
      </c>
    </row>
    <row r="56" spans="1:10" x14ac:dyDescent="0.25">
      <c r="A56" s="16">
        <v>1025</v>
      </c>
      <c r="B56" s="11" t="s">
        <v>420</v>
      </c>
      <c r="C56" t="s">
        <v>16</v>
      </c>
      <c r="D56" t="s">
        <v>318</v>
      </c>
      <c r="F56" t="s">
        <v>326</v>
      </c>
      <c r="G56">
        <f t="shared" si="3"/>
        <v>1025</v>
      </c>
      <c r="H56" t="str">
        <f t="shared" si="4"/>
        <v>`     Savings</v>
      </c>
      <c r="I56" t="s">
        <v>520</v>
      </c>
      <c r="J56" t="str">
        <f t="shared" si="5"/>
        <v>&lt;G2B&gt;&lt;G1P&gt;`     Savings</v>
      </c>
    </row>
    <row r="57" spans="1:10" x14ac:dyDescent="0.25">
      <c r="A57" s="16">
        <v>1043</v>
      </c>
      <c r="B57" s="11" t="s">
        <v>421</v>
      </c>
      <c r="C57" t="s">
        <v>16</v>
      </c>
      <c r="D57" t="s">
        <v>318</v>
      </c>
      <c r="F57" t="s">
        <v>326</v>
      </c>
      <c r="G57">
        <f t="shared" si="3"/>
        <v>1043</v>
      </c>
      <c r="H57" t="str">
        <f t="shared" si="4"/>
        <v>`     About loading</v>
      </c>
      <c r="I57" t="s">
        <v>522</v>
      </c>
      <c r="J57" t="str">
        <f t="shared" si="5"/>
        <v>&lt;G1P&gt;`     About loading</v>
      </c>
    </row>
    <row r="58" spans="1:10" x14ac:dyDescent="0.25">
      <c r="A58" s="16">
        <v>1047</v>
      </c>
      <c r="B58" s="11" t="s">
        <v>422</v>
      </c>
      <c r="C58" t="s">
        <v>16</v>
      </c>
      <c r="D58" t="s">
        <v>318</v>
      </c>
      <c r="F58" t="s">
        <v>326</v>
      </c>
      <c r="G58">
        <f t="shared" si="3"/>
        <v>1047</v>
      </c>
      <c r="H58" t="str">
        <f t="shared" si="4"/>
        <v>`     Saving money and earning from it</v>
      </c>
      <c r="I58" t="s">
        <v>521</v>
      </c>
      <c r="J58" t="str">
        <f t="shared" si="5"/>
        <v>&lt;G2E&gt;&lt;G1P&gt;`     Saving money and earning from it</v>
      </c>
    </row>
    <row r="59" spans="1:10" x14ac:dyDescent="0.25">
      <c r="A59" s="30" t="s">
        <v>514</v>
      </c>
      <c r="B59" s="31" t="s">
        <v>423</v>
      </c>
      <c r="C59" t="s">
        <v>6</v>
      </c>
      <c r="D59" t="s">
        <v>323</v>
      </c>
      <c r="E59" t="s">
        <v>322</v>
      </c>
      <c r="F59" t="s">
        <v>327</v>
      </c>
      <c r="G59" t="str">
        <f t="shared" si="3"/>
        <v>1032+1033+1037+1038+1040+1048+1056+1067+1068+1078+1079+1076+1080+1081+1086+1095+1102+1103+1104+1107+1108+1120+1121</v>
      </c>
      <c r="H59" t="str">
        <f t="shared" si="4"/>
        <v>`GCASH PRODUCT/SERVICES  (NET)&lt;Q&gt;</v>
      </c>
      <c r="J59" t="str">
        <f t="shared" si="5"/>
        <v>`GCASH PRODUCT/SERVICES  (NET)&lt;Q&gt;</v>
      </c>
    </row>
    <row r="60" spans="1:10" x14ac:dyDescent="0.25">
      <c r="A60" s="16">
        <v>1032</v>
      </c>
      <c r="B60" s="11" t="s">
        <v>424</v>
      </c>
      <c r="C60" t="s">
        <v>16</v>
      </c>
      <c r="D60" t="s">
        <v>318</v>
      </c>
      <c r="F60" t="s">
        <v>326</v>
      </c>
      <c r="G60">
        <f t="shared" si="3"/>
        <v>1032</v>
      </c>
      <c r="H60" t="str">
        <f t="shared" si="4"/>
        <v>`     GSave</v>
      </c>
      <c r="I60" t="s">
        <v>520</v>
      </c>
      <c r="J60" t="str">
        <f t="shared" si="5"/>
        <v>&lt;G2B&gt;&lt;G1P&gt;`     GSave</v>
      </c>
    </row>
    <row r="61" spans="1:10" x14ac:dyDescent="0.25">
      <c r="A61" s="16">
        <v>1033</v>
      </c>
      <c r="B61" s="11" t="s">
        <v>425</v>
      </c>
      <c r="C61" t="s">
        <v>16</v>
      </c>
      <c r="D61" t="s">
        <v>318</v>
      </c>
      <c r="F61" t="s">
        <v>326</v>
      </c>
      <c r="G61">
        <f t="shared" si="3"/>
        <v>1033</v>
      </c>
      <c r="H61" t="str">
        <f t="shared" si="4"/>
        <v>`     GInvest</v>
      </c>
      <c r="I61" t="s">
        <v>522</v>
      </c>
      <c r="J61" t="str">
        <f t="shared" si="5"/>
        <v>&lt;G1P&gt;`     GInvest</v>
      </c>
    </row>
    <row r="62" spans="1:10" x14ac:dyDescent="0.25">
      <c r="A62" s="16">
        <v>1037</v>
      </c>
      <c r="B62" s="11" t="s">
        <v>426</v>
      </c>
      <c r="C62" t="s">
        <v>16</v>
      </c>
      <c r="D62" t="s">
        <v>318</v>
      </c>
      <c r="F62" t="s">
        <v>326</v>
      </c>
      <c r="G62">
        <f t="shared" si="3"/>
        <v>1037</v>
      </c>
      <c r="H62" t="str">
        <f t="shared" si="4"/>
        <v>`     GFund</v>
      </c>
      <c r="I62" t="s">
        <v>522</v>
      </c>
      <c r="J62" t="str">
        <f t="shared" si="5"/>
        <v>&lt;G1P&gt;`     GFund</v>
      </c>
    </row>
    <row r="63" spans="1:10" x14ac:dyDescent="0.25">
      <c r="A63" s="16">
        <v>1038</v>
      </c>
      <c r="B63" s="11" t="s">
        <v>427</v>
      </c>
      <c r="C63" t="s">
        <v>16</v>
      </c>
      <c r="D63" t="s">
        <v>318</v>
      </c>
      <c r="F63" t="s">
        <v>326</v>
      </c>
      <c r="G63">
        <f t="shared" si="3"/>
        <v>1038</v>
      </c>
      <c r="H63" t="str">
        <f t="shared" si="4"/>
        <v>`     GInsurance</v>
      </c>
      <c r="I63" t="s">
        <v>522</v>
      </c>
      <c r="J63" t="str">
        <f t="shared" si="5"/>
        <v>&lt;G1P&gt;`     GInsurance</v>
      </c>
    </row>
    <row r="64" spans="1:10" x14ac:dyDescent="0.25">
      <c r="A64" s="16">
        <v>1040</v>
      </c>
      <c r="B64" s="11" t="s">
        <v>428</v>
      </c>
      <c r="C64" t="s">
        <v>16</v>
      </c>
      <c r="D64" t="s">
        <v>318</v>
      </c>
      <c r="F64" t="s">
        <v>326</v>
      </c>
      <c r="G64">
        <f t="shared" si="3"/>
        <v>1040</v>
      </c>
      <c r="H64" t="str">
        <f t="shared" si="4"/>
        <v>`     GLife</v>
      </c>
      <c r="I64" t="s">
        <v>522</v>
      </c>
      <c r="J64" t="str">
        <f t="shared" si="5"/>
        <v>&lt;G1P&gt;`     GLife</v>
      </c>
    </row>
    <row r="65" spans="1:10" x14ac:dyDescent="0.25">
      <c r="A65" s="16">
        <v>1048</v>
      </c>
      <c r="B65" s="11" t="s">
        <v>429</v>
      </c>
      <c r="C65" t="s">
        <v>16</v>
      </c>
      <c r="D65" t="s">
        <v>318</v>
      </c>
      <c r="F65" t="s">
        <v>326</v>
      </c>
      <c r="G65">
        <f t="shared" si="3"/>
        <v>1048</v>
      </c>
      <c r="H65" t="str">
        <f t="shared" si="4"/>
        <v>`     GGives</v>
      </c>
      <c r="I65" t="s">
        <v>522</v>
      </c>
      <c r="J65" t="str">
        <f t="shared" si="5"/>
        <v>&lt;G1P&gt;`     GGives</v>
      </c>
    </row>
    <row r="66" spans="1:10" x14ac:dyDescent="0.25">
      <c r="A66" s="16">
        <v>1056</v>
      </c>
      <c r="B66" s="11" t="s">
        <v>430</v>
      </c>
      <c r="C66" t="s">
        <v>16</v>
      </c>
      <c r="D66" t="s">
        <v>318</v>
      </c>
      <c r="F66" t="s">
        <v>326</v>
      </c>
      <c r="G66">
        <f t="shared" ref="G66:G97" si="6">IF(A66="","",A66)</f>
        <v>1056</v>
      </c>
      <c r="H66" t="str">
        <f t="shared" ref="H66:H97" si="7">_xlfn.CONCAT(D66,SUBSTITUTE(B66,"""","`"""),E66)</f>
        <v>`     GCash ads</v>
      </c>
      <c r="I66" t="s">
        <v>522</v>
      </c>
      <c r="J66" t="str">
        <f t="shared" ref="J66:J97" si="8">_xlfn.CONCAT(I66,H66)</f>
        <v>&lt;G1P&gt;`     GCash ads</v>
      </c>
    </row>
    <row r="67" spans="1:10" x14ac:dyDescent="0.25">
      <c r="A67" s="16">
        <v>1067</v>
      </c>
      <c r="B67" s="11" t="s">
        <v>431</v>
      </c>
      <c r="C67" t="s">
        <v>16</v>
      </c>
      <c r="D67" t="s">
        <v>318</v>
      </c>
      <c r="F67" t="s">
        <v>326</v>
      </c>
      <c r="G67">
        <f t="shared" si="6"/>
        <v>1067</v>
      </c>
      <c r="H67" t="str">
        <f t="shared" si="7"/>
        <v>`     Gcredit</v>
      </c>
      <c r="I67" t="s">
        <v>522</v>
      </c>
      <c r="J67" t="str">
        <f t="shared" si="8"/>
        <v>&lt;G1P&gt;`     Gcredit</v>
      </c>
    </row>
    <row r="68" spans="1:10" x14ac:dyDescent="0.25">
      <c r="A68" s="16">
        <v>1068</v>
      </c>
      <c r="B68" s="11" t="s">
        <v>432</v>
      </c>
      <c r="C68" t="s">
        <v>16</v>
      </c>
      <c r="D68" t="s">
        <v>318</v>
      </c>
      <c r="F68" t="s">
        <v>326</v>
      </c>
      <c r="G68">
        <f t="shared" si="6"/>
        <v>1068</v>
      </c>
      <c r="H68" t="str">
        <f t="shared" si="7"/>
        <v>`     GCrypto</v>
      </c>
      <c r="I68" t="s">
        <v>522</v>
      </c>
      <c r="J68" t="str">
        <f t="shared" si="8"/>
        <v>&lt;G1P&gt;`     GCrypto</v>
      </c>
    </row>
    <row r="69" spans="1:10" x14ac:dyDescent="0.25">
      <c r="A69" s="26">
        <v>1078</v>
      </c>
      <c r="B69" s="37" t="s">
        <v>433</v>
      </c>
      <c r="C69" t="s">
        <v>16</v>
      </c>
      <c r="D69" t="s">
        <v>318</v>
      </c>
      <c r="F69" t="s">
        <v>326</v>
      </c>
      <c r="G69">
        <f t="shared" si="6"/>
        <v>1078</v>
      </c>
      <c r="H69" t="str">
        <f t="shared" si="7"/>
        <v>`     About Gload</v>
      </c>
      <c r="I69" t="s">
        <v>522</v>
      </c>
      <c r="J69" t="str">
        <f t="shared" si="8"/>
        <v>&lt;G1P&gt;`     About Gload</v>
      </c>
    </row>
    <row r="70" spans="1:10" x14ac:dyDescent="0.25">
      <c r="A70" s="26">
        <v>1079</v>
      </c>
      <c r="B70" s="37" t="s">
        <v>434</v>
      </c>
      <c r="C70" t="s">
        <v>16</v>
      </c>
      <c r="D70" t="s">
        <v>318</v>
      </c>
      <c r="F70" t="s">
        <v>326</v>
      </c>
      <c r="G70">
        <f t="shared" si="6"/>
        <v>1079</v>
      </c>
      <c r="H70" t="str">
        <f t="shared" si="7"/>
        <v>`     About Ginsure</v>
      </c>
      <c r="I70" t="s">
        <v>522</v>
      </c>
      <c r="J70" t="str">
        <f t="shared" si="8"/>
        <v>&lt;G1P&gt;`     About Ginsure</v>
      </c>
    </row>
    <row r="71" spans="1:10" x14ac:dyDescent="0.25">
      <c r="A71" s="26">
        <v>1076</v>
      </c>
      <c r="B71" s="37" t="s">
        <v>435</v>
      </c>
      <c r="C71" t="s">
        <v>16</v>
      </c>
      <c r="D71" t="s">
        <v>318</v>
      </c>
      <c r="F71" t="s">
        <v>326</v>
      </c>
      <c r="G71">
        <f t="shared" si="6"/>
        <v>1076</v>
      </c>
      <c r="H71" t="str">
        <f t="shared" si="7"/>
        <v>`     Show Gcash functions</v>
      </c>
      <c r="I71" t="s">
        <v>522</v>
      </c>
      <c r="J71" t="str">
        <f t="shared" si="8"/>
        <v>&lt;G1P&gt;`     Show Gcash functions</v>
      </c>
    </row>
    <row r="72" spans="1:10" x14ac:dyDescent="0.25">
      <c r="A72" s="26">
        <v>1080</v>
      </c>
      <c r="B72" s="37" t="s">
        <v>436</v>
      </c>
      <c r="C72" t="s">
        <v>16</v>
      </c>
      <c r="D72" t="s">
        <v>318</v>
      </c>
      <c r="F72" t="s">
        <v>326</v>
      </c>
      <c r="G72">
        <f t="shared" si="6"/>
        <v>1080</v>
      </c>
      <c r="H72" t="str">
        <f t="shared" si="7"/>
        <v>`     Buy load thru Gcash</v>
      </c>
      <c r="I72" t="s">
        <v>522</v>
      </c>
      <c r="J72" t="str">
        <f t="shared" si="8"/>
        <v>&lt;G1P&gt;`     Buy load thru Gcash</v>
      </c>
    </row>
    <row r="73" spans="1:10" x14ac:dyDescent="0.25">
      <c r="A73" s="24">
        <v>1081</v>
      </c>
      <c r="B73" s="35" t="s">
        <v>437</v>
      </c>
      <c r="C73" t="s">
        <v>16</v>
      </c>
      <c r="D73" t="s">
        <v>318</v>
      </c>
      <c r="F73" t="s">
        <v>326</v>
      </c>
      <c r="G73">
        <f t="shared" si="6"/>
        <v>1081</v>
      </c>
      <c r="H73" t="str">
        <f t="shared" si="7"/>
        <v>`     Gloan</v>
      </c>
      <c r="I73" t="s">
        <v>522</v>
      </c>
      <c r="J73" t="str">
        <f t="shared" si="8"/>
        <v>&lt;G1P&gt;`     Gloan</v>
      </c>
    </row>
    <row r="74" spans="1:10" x14ac:dyDescent="0.25">
      <c r="A74" s="24">
        <v>1086</v>
      </c>
      <c r="B74" s="35" t="s">
        <v>438</v>
      </c>
      <c r="C74" t="s">
        <v>16</v>
      </c>
      <c r="D74" t="s">
        <v>318</v>
      </c>
      <c r="F74" t="s">
        <v>326</v>
      </c>
      <c r="G74">
        <f t="shared" si="6"/>
        <v>1086</v>
      </c>
      <c r="H74" t="str">
        <f t="shared" si="7"/>
        <v>`     Gprotect Commecial</v>
      </c>
      <c r="I74" t="s">
        <v>522</v>
      </c>
      <c r="J74" t="str">
        <f t="shared" si="8"/>
        <v>&lt;G1P&gt;`     Gprotect Commecial</v>
      </c>
    </row>
    <row r="75" spans="1:10" x14ac:dyDescent="0.25">
      <c r="A75" s="24">
        <v>1095</v>
      </c>
      <c r="B75" s="35" t="s">
        <v>439</v>
      </c>
      <c r="C75" t="s">
        <v>16</v>
      </c>
      <c r="D75" t="s">
        <v>318</v>
      </c>
      <c r="F75" t="s">
        <v>326</v>
      </c>
      <c r="G75">
        <f t="shared" si="6"/>
        <v>1095</v>
      </c>
      <c r="H75" t="str">
        <f t="shared" si="7"/>
        <v>`     Service in Gcash</v>
      </c>
      <c r="I75" t="s">
        <v>522</v>
      </c>
      <c r="J75" t="str">
        <f t="shared" si="8"/>
        <v>&lt;G1P&gt;`     Service in Gcash</v>
      </c>
    </row>
    <row r="76" spans="1:10" x14ac:dyDescent="0.25">
      <c r="A76" s="25">
        <v>1102</v>
      </c>
      <c r="B76" s="36" t="s">
        <v>440</v>
      </c>
      <c r="C76" t="s">
        <v>16</v>
      </c>
      <c r="D76" t="s">
        <v>318</v>
      </c>
      <c r="F76" t="s">
        <v>326</v>
      </c>
      <c r="G76">
        <f t="shared" si="6"/>
        <v>1102</v>
      </c>
      <c r="H76" t="str">
        <f t="shared" si="7"/>
        <v>`     Gcash Credit</v>
      </c>
      <c r="I76" t="s">
        <v>522</v>
      </c>
      <c r="J76" t="str">
        <f t="shared" si="8"/>
        <v>&lt;G1P&gt;`     Gcash Credit</v>
      </c>
    </row>
    <row r="77" spans="1:10" x14ac:dyDescent="0.25">
      <c r="A77" s="25">
        <v>1103</v>
      </c>
      <c r="B77" s="36" t="s">
        <v>441</v>
      </c>
      <c r="C77" t="s">
        <v>16</v>
      </c>
      <c r="D77" t="s">
        <v>318</v>
      </c>
      <c r="F77" t="s">
        <v>326</v>
      </c>
      <c r="G77">
        <f t="shared" si="6"/>
        <v>1103</v>
      </c>
      <c r="H77" t="str">
        <f t="shared" si="7"/>
        <v>`     Gcash platforms</v>
      </c>
      <c r="I77" t="s">
        <v>522</v>
      </c>
      <c r="J77" t="str">
        <f t="shared" si="8"/>
        <v>&lt;G1P&gt;`     Gcash platforms</v>
      </c>
    </row>
    <row r="78" spans="1:10" x14ac:dyDescent="0.25">
      <c r="A78" s="25">
        <v>1104</v>
      </c>
      <c r="B78" s="36" t="s">
        <v>442</v>
      </c>
      <c r="C78" t="s">
        <v>16</v>
      </c>
      <c r="D78" t="s">
        <v>318</v>
      </c>
      <c r="F78" t="s">
        <v>326</v>
      </c>
      <c r="G78">
        <f t="shared" si="6"/>
        <v>1104</v>
      </c>
      <c r="H78" t="str">
        <f t="shared" si="7"/>
        <v>`     Gcash loan</v>
      </c>
      <c r="I78" t="s">
        <v>522</v>
      </c>
      <c r="J78" t="str">
        <f t="shared" si="8"/>
        <v>&lt;G1P&gt;`     Gcash loan</v>
      </c>
    </row>
    <row r="79" spans="1:10" x14ac:dyDescent="0.25">
      <c r="A79" s="25">
        <v>1107</v>
      </c>
      <c r="B79" s="36" t="s">
        <v>443</v>
      </c>
      <c r="C79" t="s">
        <v>16</v>
      </c>
      <c r="D79" t="s">
        <v>318</v>
      </c>
      <c r="F79" t="s">
        <v>326</v>
      </c>
      <c r="G79">
        <f t="shared" si="6"/>
        <v>1107</v>
      </c>
      <c r="H79" t="str">
        <f t="shared" si="7"/>
        <v>`     Save in Gcash</v>
      </c>
      <c r="I79" t="s">
        <v>522</v>
      </c>
      <c r="J79" t="str">
        <f t="shared" si="8"/>
        <v>&lt;G1P&gt;`     Save in Gcash</v>
      </c>
    </row>
    <row r="80" spans="1:10" x14ac:dyDescent="0.25">
      <c r="A80" s="25">
        <v>1108</v>
      </c>
      <c r="B80" s="36" t="s">
        <v>444</v>
      </c>
      <c r="C80" t="s">
        <v>16</v>
      </c>
      <c r="D80" t="s">
        <v>318</v>
      </c>
      <c r="F80" t="s">
        <v>326</v>
      </c>
      <c r="G80">
        <f t="shared" si="6"/>
        <v>1108</v>
      </c>
      <c r="H80" t="str">
        <f t="shared" si="7"/>
        <v>`     Benefits of Gcash</v>
      </c>
      <c r="I80" t="s">
        <v>522</v>
      </c>
      <c r="J80" t="str">
        <f t="shared" si="8"/>
        <v>&lt;G1P&gt;`     Benefits of Gcash</v>
      </c>
    </row>
    <row r="81" spans="1:10" x14ac:dyDescent="0.25">
      <c r="A81" s="25">
        <v>1120</v>
      </c>
      <c r="B81" s="36" t="s">
        <v>445</v>
      </c>
      <c r="C81" t="s">
        <v>16</v>
      </c>
      <c r="D81" t="s">
        <v>318</v>
      </c>
      <c r="F81" t="s">
        <v>326</v>
      </c>
      <c r="G81">
        <f t="shared" si="6"/>
        <v>1120</v>
      </c>
      <c r="H81" t="str">
        <f t="shared" si="7"/>
        <v>`     Forest reward</v>
      </c>
      <c r="I81" t="s">
        <v>522</v>
      </c>
      <c r="J81" t="str">
        <f t="shared" si="8"/>
        <v>&lt;G1P&gt;`     Forest reward</v>
      </c>
    </row>
    <row r="82" spans="1:10" x14ac:dyDescent="0.25">
      <c r="A82" s="25">
        <v>1121</v>
      </c>
      <c r="B82" s="36" t="s">
        <v>446</v>
      </c>
      <c r="C82" t="s">
        <v>16</v>
      </c>
      <c r="D82" t="s">
        <v>318</v>
      </c>
      <c r="F82" t="s">
        <v>326</v>
      </c>
      <c r="G82">
        <f t="shared" si="6"/>
        <v>1121</v>
      </c>
      <c r="H82" t="str">
        <f t="shared" si="7"/>
        <v>`     Offer of Gloan</v>
      </c>
      <c r="I82" t="s">
        <v>521</v>
      </c>
      <c r="J82" t="str">
        <f t="shared" si="8"/>
        <v>&lt;G2E&gt;&lt;G1P&gt;`     Offer of Gloan</v>
      </c>
    </row>
    <row r="83" spans="1:10" x14ac:dyDescent="0.25">
      <c r="A83" s="30">
        <v>1050</v>
      </c>
      <c r="B83" s="31" t="s">
        <v>447</v>
      </c>
      <c r="C83" t="s">
        <v>6</v>
      </c>
      <c r="D83" t="s">
        <v>323</v>
      </c>
      <c r="E83" t="s">
        <v>322</v>
      </c>
      <c r="F83" t="s">
        <v>327</v>
      </c>
      <c r="G83">
        <f t="shared" si="6"/>
        <v>1050</v>
      </c>
      <c r="H83" t="str">
        <f t="shared" si="7"/>
        <v>`ON SUMMER CAMPAIGN  (NET)&lt;Q&gt;</v>
      </c>
      <c r="J83" t="str">
        <f t="shared" si="8"/>
        <v>`ON SUMMER CAMPAIGN  (NET)&lt;Q&gt;</v>
      </c>
    </row>
    <row r="84" spans="1:10" x14ac:dyDescent="0.25">
      <c r="A84" s="16">
        <v>1050</v>
      </c>
      <c r="B84" s="11" t="s">
        <v>448</v>
      </c>
      <c r="C84" t="s">
        <v>16</v>
      </c>
      <c r="D84" t="s">
        <v>318</v>
      </c>
      <c r="F84" t="s">
        <v>326</v>
      </c>
      <c r="G84">
        <f t="shared" si="6"/>
        <v>1050</v>
      </c>
      <c r="H84" t="str">
        <f t="shared" si="7"/>
        <v>`     Summer on GCash</v>
      </c>
      <c r="I84" t="s">
        <v>522</v>
      </c>
      <c r="J84" t="str">
        <f t="shared" si="8"/>
        <v>&lt;G1P&gt;`     Summer on GCash</v>
      </c>
    </row>
    <row r="85" spans="1:10" x14ac:dyDescent="0.25">
      <c r="A85" s="30">
        <v>1073</v>
      </c>
      <c r="B85" s="31" t="s">
        <v>449</v>
      </c>
      <c r="C85" t="s">
        <v>6</v>
      </c>
      <c r="D85" t="s">
        <v>323</v>
      </c>
      <c r="E85" t="s">
        <v>322</v>
      </c>
      <c r="F85" t="s">
        <v>327</v>
      </c>
      <c r="G85">
        <f t="shared" si="6"/>
        <v>1073</v>
      </c>
      <c r="H85" t="str">
        <f t="shared" si="7"/>
        <v>`GCASH JR  (NET)&lt;Q&gt;</v>
      </c>
      <c r="J85" t="str">
        <f t="shared" si="8"/>
        <v>`GCASH JR  (NET)&lt;Q&gt;</v>
      </c>
    </row>
    <row r="86" spans="1:10" x14ac:dyDescent="0.25">
      <c r="A86" s="26">
        <v>1073</v>
      </c>
      <c r="B86" s="37" t="s">
        <v>450</v>
      </c>
      <c r="C86" t="s">
        <v>16</v>
      </c>
      <c r="D86" t="s">
        <v>318</v>
      </c>
      <c r="F86" t="s">
        <v>326</v>
      </c>
      <c r="G86">
        <f t="shared" si="6"/>
        <v>1073</v>
      </c>
      <c r="H86" t="str">
        <f t="shared" si="7"/>
        <v>`     Ads of kids about Gcash</v>
      </c>
      <c r="I86" t="s">
        <v>522</v>
      </c>
      <c r="J86" t="str">
        <f t="shared" si="8"/>
        <v>&lt;G1P&gt;`     Ads of kids about Gcash</v>
      </c>
    </row>
    <row r="87" spans="1:10" x14ac:dyDescent="0.25">
      <c r="A87" s="33" t="s">
        <v>515</v>
      </c>
      <c r="B87" s="34" t="s">
        <v>451</v>
      </c>
      <c r="C87" t="s">
        <v>6</v>
      </c>
      <c r="D87" t="s">
        <v>323</v>
      </c>
      <c r="E87" t="s">
        <v>322</v>
      </c>
      <c r="F87" t="s">
        <v>327</v>
      </c>
      <c r="G87" t="str">
        <f t="shared" si="6"/>
        <v>1088+1090</v>
      </c>
      <c r="H87" t="str">
        <f t="shared" si="7"/>
        <v>`HOW TO REGISTER TO OR USE GCASH (NET)&lt;Q&gt;</v>
      </c>
      <c r="J87" t="str">
        <f t="shared" si="8"/>
        <v>`HOW TO REGISTER TO OR USE GCASH (NET)&lt;Q&gt;</v>
      </c>
    </row>
    <row r="88" spans="1:10" x14ac:dyDescent="0.25">
      <c r="A88" s="24">
        <v>1088</v>
      </c>
      <c r="B88" s="35" t="s">
        <v>452</v>
      </c>
      <c r="C88" t="s">
        <v>16</v>
      </c>
      <c r="D88" t="s">
        <v>318</v>
      </c>
      <c r="F88" t="s">
        <v>326</v>
      </c>
      <c r="G88">
        <f t="shared" si="6"/>
        <v>1088</v>
      </c>
      <c r="H88" t="str">
        <f t="shared" si="7"/>
        <v>`     How to registered</v>
      </c>
      <c r="I88" t="s">
        <v>520</v>
      </c>
      <c r="J88" t="str">
        <f t="shared" si="8"/>
        <v>&lt;G2B&gt;&lt;G1P&gt;`     How to registered</v>
      </c>
    </row>
    <row r="89" spans="1:10" x14ac:dyDescent="0.25">
      <c r="A89" s="24">
        <v>1090</v>
      </c>
      <c r="B89" s="35" t="s">
        <v>453</v>
      </c>
      <c r="C89" t="s">
        <v>16</v>
      </c>
      <c r="D89" t="s">
        <v>318</v>
      </c>
      <c r="F89" t="s">
        <v>326</v>
      </c>
      <c r="G89">
        <f t="shared" si="6"/>
        <v>1090</v>
      </c>
      <c r="H89" t="str">
        <f t="shared" si="7"/>
        <v>`     Steps how to use Gcash</v>
      </c>
      <c r="I89" t="s">
        <v>521</v>
      </c>
      <c r="J89" t="str">
        <f t="shared" si="8"/>
        <v>&lt;G2E&gt;&lt;G1P&gt;`     Steps how to use Gcash</v>
      </c>
    </row>
    <row r="90" spans="1:10" x14ac:dyDescent="0.25">
      <c r="A90" s="33">
        <v>1089</v>
      </c>
      <c r="B90" s="34" t="s">
        <v>454</v>
      </c>
      <c r="C90" t="s">
        <v>6</v>
      </c>
      <c r="D90" t="s">
        <v>323</v>
      </c>
      <c r="E90" t="s">
        <v>322</v>
      </c>
      <c r="F90" t="s">
        <v>327</v>
      </c>
      <c r="G90">
        <f t="shared" si="6"/>
        <v>1089</v>
      </c>
      <c r="H90" t="str">
        <f t="shared" si="7"/>
        <v>`PROMO (NET)&lt;Q&gt;</v>
      </c>
      <c r="J90" t="str">
        <f t="shared" si="8"/>
        <v>`PROMO (NET)&lt;Q&gt;</v>
      </c>
    </row>
    <row r="91" spans="1:10" x14ac:dyDescent="0.25">
      <c r="A91" s="24">
        <v>1089</v>
      </c>
      <c r="B91" s="35" t="s">
        <v>455</v>
      </c>
      <c r="C91" t="s">
        <v>16</v>
      </c>
      <c r="D91" t="s">
        <v>318</v>
      </c>
      <c r="F91" t="s">
        <v>326</v>
      </c>
      <c r="G91">
        <f t="shared" si="6"/>
        <v>1089</v>
      </c>
      <c r="H91" t="str">
        <f t="shared" si="7"/>
        <v>`     Have a promo that you invite or endorse to friends and relavies about their apps you have a gift inGcash</v>
      </c>
      <c r="I91" t="s">
        <v>522</v>
      </c>
      <c r="J91" t="str">
        <f t="shared" si="8"/>
        <v>&lt;G1P&gt;`     Have a promo that you invite or endorse to friends and relavies about their apps you have a gift inGcash</v>
      </c>
    </row>
    <row r="92" spans="1:10" x14ac:dyDescent="0.25">
      <c r="A92" s="33">
        <v>1092</v>
      </c>
      <c r="B92" s="34" t="s">
        <v>456</v>
      </c>
      <c r="C92" t="s">
        <v>6</v>
      </c>
      <c r="D92" t="s">
        <v>323</v>
      </c>
      <c r="E92" t="s">
        <v>322</v>
      </c>
      <c r="F92" t="s">
        <v>327</v>
      </c>
      <c r="G92">
        <f t="shared" si="6"/>
        <v>1092</v>
      </c>
      <c r="H92" t="str">
        <f t="shared" si="7"/>
        <v>`INCLUSIVITY (NET)&lt;Q&gt;</v>
      </c>
      <c r="I92" t="s">
        <v>519</v>
      </c>
      <c r="J92" t="str">
        <f t="shared" si="8"/>
        <v>&lt;G1E&gt;`INCLUSIVITY (NET)&lt;Q&gt;</v>
      </c>
    </row>
    <row r="93" spans="1:10" x14ac:dyDescent="0.25">
      <c r="A93" s="24">
        <v>1092</v>
      </c>
      <c r="B93" s="35" t="s">
        <v>457</v>
      </c>
      <c r="C93" t="s">
        <v>16</v>
      </c>
      <c r="D93" t="s">
        <v>318</v>
      </c>
      <c r="F93" t="s">
        <v>326</v>
      </c>
      <c r="G93">
        <f t="shared" si="6"/>
        <v>1092</v>
      </c>
      <c r="H93" t="str">
        <f t="shared" si="7"/>
        <v>`     Tungkol sa PWD</v>
      </c>
      <c r="I93" t="s">
        <v>522</v>
      </c>
      <c r="J93" t="str">
        <f t="shared" si="8"/>
        <v>&lt;G1P&gt;`     Tungkol sa PWD</v>
      </c>
    </row>
    <row r="94" spans="1:10" x14ac:dyDescent="0.25">
      <c r="A94" s="30" t="s">
        <v>516</v>
      </c>
      <c r="B94" s="31" t="s">
        <v>332</v>
      </c>
      <c r="C94" t="s">
        <v>6</v>
      </c>
      <c r="D94" t="s">
        <v>323</v>
      </c>
      <c r="E94" t="s">
        <v>322</v>
      </c>
      <c r="F94" t="s">
        <v>327</v>
      </c>
      <c r="G94" t="str">
        <f t="shared" si="6"/>
        <v>1001+1008+1016+1019+1020+1026+1027+1028+1030+1034+1035+1036+1039+1053+1054+1055+1057+1060+1074+1075+1077+1097+1098+1109+1110+1111+1112+1114</v>
      </c>
      <c r="H94" t="str">
        <f t="shared" si="7"/>
        <v>`OTHERS (NET)&lt;Q&gt;</v>
      </c>
      <c r="J94" t="str">
        <f t="shared" si="8"/>
        <v>`OTHERS (NET)&lt;Q&gt;</v>
      </c>
    </row>
    <row r="95" spans="1:10" x14ac:dyDescent="0.25">
      <c r="A95" s="16">
        <v>1001</v>
      </c>
      <c r="B95" s="11" t="s">
        <v>458</v>
      </c>
      <c r="C95" t="s">
        <v>16</v>
      </c>
      <c r="D95" t="s">
        <v>318</v>
      </c>
      <c r="F95" t="s">
        <v>326</v>
      </c>
      <c r="G95">
        <f t="shared" si="6"/>
        <v>1001</v>
      </c>
      <c r="H95" t="str">
        <f t="shared" si="7"/>
        <v>`     Shopee</v>
      </c>
      <c r="I95" t="s">
        <v>520</v>
      </c>
      <c r="J95" t="str">
        <f t="shared" si="8"/>
        <v>&lt;G2B&gt;&lt;G1P&gt;`     Shopee</v>
      </c>
    </row>
    <row r="96" spans="1:10" x14ac:dyDescent="0.25">
      <c r="A96" s="16">
        <v>1008</v>
      </c>
      <c r="B96" s="11" t="s">
        <v>459</v>
      </c>
      <c r="C96" t="s">
        <v>16</v>
      </c>
      <c r="D96" t="s">
        <v>318</v>
      </c>
      <c r="F96" t="s">
        <v>326</v>
      </c>
      <c r="G96">
        <f t="shared" si="6"/>
        <v>1008</v>
      </c>
      <c r="H96" t="str">
        <f t="shared" si="7"/>
        <v>`     Sim advertisement</v>
      </c>
      <c r="I96" t="s">
        <v>522</v>
      </c>
      <c r="J96" t="str">
        <f t="shared" si="8"/>
        <v>&lt;G1P&gt;`     Sim advertisement</v>
      </c>
    </row>
    <row r="97" spans="1:10" x14ac:dyDescent="0.25">
      <c r="A97" s="16">
        <v>1016</v>
      </c>
      <c r="B97" s="11" t="s">
        <v>460</v>
      </c>
      <c r="C97" t="s">
        <v>16</v>
      </c>
      <c r="D97" t="s">
        <v>318</v>
      </c>
      <c r="F97" t="s">
        <v>326</v>
      </c>
      <c r="G97">
        <f t="shared" si="6"/>
        <v>1016</v>
      </c>
      <c r="H97" t="str">
        <f t="shared" si="7"/>
        <v>`     Bingo Plus</v>
      </c>
      <c r="I97" t="s">
        <v>522</v>
      </c>
      <c r="J97" t="str">
        <f t="shared" si="8"/>
        <v>&lt;G1P&gt;`     Bingo Plus</v>
      </c>
    </row>
    <row r="98" spans="1:10" x14ac:dyDescent="0.25">
      <c r="A98" s="16">
        <v>1019</v>
      </c>
      <c r="B98" s="11" t="s">
        <v>461</v>
      </c>
      <c r="C98" t="s">
        <v>16</v>
      </c>
      <c r="D98" t="s">
        <v>318</v>
      </c>
      <c r="F98" t="s">
        <v>326</v>
      </c>
      <c r="G98">
        <f t="shared" ref="G98:G129" si="9">IF(A98="","",A98)</f>
        <v>1019</v>
      </c>
      <c r="H98" t="str">
        <f t="shared" ref="H98:H129" si="10">_xlfn.CONCAT(D98,SUBSTITUTE(B98,"""","`"""),E98)</f>
        <v>`     Gaming</v>
      </c>
      <c r="I98" t="s">
        <v>522</v>
      </c>
      <c r="J98" t="str">
        <f t="shared" ref="J98:J129" si="11">_xlfn.CONCAT(I98,H98)</f>
        <v>&lt;G1P&gt;`     Gaming</v>
      </c>
    </row>
    <row r="99" spans="1:10" x14ac:dyDescent="0.25">
      <c r="A99" s="16">
        <v>1020</v>
      </c>
      <c r="B99" s="11" t="s">
        <v>462</v>
      </c>
      <c r="C99" t="s">
        <v>16</v>
      </c>
      <c r="D99" t="s">
        <v>318</v>
      </c>
      <c r="F99" t="s">
        <v>326</v>
      </c>
      <c r="G99">
        <f t="shared" si="9"/>
        <v>1020</v>
      </c>
      <c r="H99" t="str">
        <f t="shared" si="10"/>
        <v>`     Food Panda</v>
      </c>
      <c r="I99" t="s">
        <v>522</v>
      </c>
      <c r="J99" t="str">
        <f t="shared" si="11"/>
        <v>&lt;G1P&gt;`     Food Panda</v>
      </c>
    </row>
    <row r="100" spans="1:10" x14ac:dyDescent="0.25">
      <c r="A100" s="16">
        <v>1026</v>
      </c>
      <c r="B100" s="11" t="s">
        <v>463</v>
      </c>
      <c r="C100" t="s">
        <v>16</v>
      </c>
      <c r="D100" t="s">
        <v>318</v>
      </c>
      <c r="F100" t="s">
        <v>326</v>
      </c>
      <c r="G100">
        <f t="shared" si="9"/>
        <v>1026</v>
      </c>
      <c r="H100" t="str">
        <f t="shared" si="10"/>
        <v>`     Tiktok on TV</v>
      </c>
      <c r="I100" t="s">
        <v>522</v>
      </c>
      <c r="J100" t="str">
        <f t="shared" si="11"/>
        <v>&lt;G1P&gt;`     Tiktok on TV</v>
      </c>
    </row>
    <row r="101" spans="1:10" x14ac:dyDescent="0.25">
      <c r="A101" s="16">
        <v>1027</v>
      </c>
      <c r="B101" s="11" t="s">
        <v>464</v>
      </c>
      <c r="C101" t="s">
        <v>16</v>
      </c>
      <c r="D101" t="s">
        <v>318</v>
      </c>
      <c r="F101" t="s">
        <v>326</v>
      </c>
      <c r="G101">
        <f t="shared" si="9"/>
        <v>1027</v>
      </c>
      <c r="H101" t="str">
        <f t="shared" si="10"/>
        <v>`     TV</v>
      </c>
      <c r="I101" t="s">
        <v>522</v>
      </c>
      <c r="J101" t="str">
        <f t="shared" si="11"/>
        <v>&lt;G1P&gt;`     TV</v>
      </c>
    </row>
    <row r="102" spans="1:10" x14ac:dyDescent="0.25">
      <c r="A102" s="16">
        <v>1028</v>
      </c>
      <c r="B102" s="11" t="s">
        <v>465</v>
      </c>
      <c r="C102" t="s">
        <v>16</v>
      </c>
      <c r="D102" t="s">
        <v>318</v>
      </c>
      <c r="F102" t="s">
        <v>326</v>
      </c>
      <c r="G102">
        <f t="shared" si="9"/>
        <v>1028</v>
      </c>
      <c r="H102" t="str">
        <f t="shared" si="10"/>
        <v>`     Social media</v>
      </c>
      <c r="I102" t="s">
        <v>522</v>
      </c>
      <c r="J102" t="str">
        <f t="shared" si="11"/>
        <v>&lt;G1P&gt;`     Social media</v>
      </c>
    </row>
    <row r="103" spans="1:10" x14ac:dyDescent="0.25">
      <c r="A103" s="16">
        <v>1030</v>
      </c>
      <c r="B103" s="11" t="s">
        <v>466</v>
      </c>
      <c r="C103" t="s">
        <v>16</v>
      </c>
      <c r="D103" t="s">
        <v>318</v>
      </c>
      <c r="F103" t="s">
        <v>326</v>
      </c>
      <c r="G103">
        <f t="shared" si="9"/>
        <v>1030</v>
      </c>
      <c r="H103" t="str">
        <f t="shared" si="10"/>
        <v>`     Youtube</v>
      </c>
      <c r="I103" t="s">
        <v>522</v>
      </c>
      <c r="J103" t="str">
        <f t="shared" si="11"/>
        <v>&lt;G1P&gt;`     Youtube</v>
      </c>
    </row>
    <row r="104" spans="1:10" x14ac:dyDescent="0.25">
      <c r="A104" s="16">
        <v>1034</v>
      </c>
      <c r="B104" s="11" t="s">
        <v>467</v>
      </c>
      <c r="C104" t="s">
        <v>16</v>
      </c>
      <c r="D104" t="s">
        <v>318</v>
      </c>
      <c r="F104" t="s">
        <v>326</v>
      </c>
      <c r="G104">
        <f t="shared" si="9"/>
        <v>1034</v>
      </c>
      <c r="H104" t="str">
        <f t="shared" si="10"/>
        <v>`     About travelling</v>
      </c>
      <c r="I104" t="s">
        <v>522</v>
      </c>
      <c r="J104" t="str">
        <f t="shared" si="11"/>
        <v>&lt;G1P&gt;`     About travelling</v>
      </c>
    </row>
    <row r="105" spans="1:10" x14ac:dyDescent="0.25">
      <c r="A105" s="16">
        <v>1035</v>
      </c>
      <c r="B105" s="11" t="s">
        <v>468</v>
      </c>
      <c r="C105" t="s">
        <v>16</v>
      </c>
      <c r="D105" t="s">
        <v>318</v>
      </c>
      <c r="F105" t="s">
        <v>326</v>
      </c>
      <c r="G105">
        <f t="shared" si="9"/>
        <v>1035</v>
      </c>
      <c r="H105" t="str">
        <f t="shared" si="10"/>
        <v>`     An artist promoting GCash</v>
      </c>
      <c r="I105" t="s">
        <v>522</v>
      </c>
      <c r="J105" t="str">
        <f t="shared" si="11"/>
        <v>&lt;G1P&gt;`     An artist promoting GCash</v>
      </c>
    </row>
    <row r="106" spans="1:10" x14ac:dyDescent="0.25">
      <c r="A106" s="16">
        <v>1036</v>
      </c>
      <c r="B106" s="11" t="s">
        <v>469</v>
      </c>
      <c r="C106" t="s">
        <v>16</v>
      </c>
      <c r="D106" t="s">
        <v>318</v>
      </c>
      <c r="F106" t="s">
        <v>326</v>
      </c>
      <c r="G106">
        <f t="shared" si="9"/>
        <v>1036</v>
      </c>
      <c r="H106" t="str">
        <f t="shared" si="10"/>
        <v>`     Vloggers promoting sports by using Gcash</v>
      </c>
      <c r="I106" t="s">
        <v>522</v>
      </c>
      <c r="J106" t="str">
        <f t="shared" si="11"/>
        <v>&lt;G1P&gt;`     Vloggers promoting sports by using Gcash</v>
      </c>
    </row>
    <row r="107" spans="1:10" x14ac:dyDescent="0.25">
      <c r="A107" s="16">
        <v>1039</v>
      </c>
      <c r="B107" s="11" t="s">
        <v>470</v>
      </c>
      <c r="C107" t="s">
        <v>16</v>
      </c>
      <c r="D107" t="s">
        <v>318</v>
      </c>
      <c r="F107" t="s">
        <v>326</v>
      </c>
      <c r="G107">
        <f t="shared" si="9"/>
        <v>1039</v>
      </c>
      <c r="H107" t="str">
        <f t="shared" si="10"/>
        <v>`     About GCash</v>
      </c>
      <c r="I107" t="s">
        <v>522</v>
      </c>
      <c r="J107" t="str">
        <f t="shared" si="11"/>
        <v>&lt;G1P&gt;`     About GCash</v>
      </c>
    </row>
    <row r="108" spans="1:10" x14ac:dyDescent="0.25">
      <c r="A108" s="16">
        <v>1053</v>
      </c>
      <c r="B108" s="11" t="s">
        <v>471</v>
      </c>
      <c r="C108" t="s">
        <v>16</v>
      </c>
      <c r="D108" t="s">
        <v>318</v>
      </c>
      <c r="F108" t="s">
        <v>326</v>
      </c>
      <c r="G108">
        <f t="shared" si="9"/>
        <v>1053</v>
      </c>
      <c r="H108" t="str">
        <f t="shared" si="10"/>
        <v>`     BTS Boys</v>
      </c>
      <c r="I108" t="s">
        <v>522</v>
      </c>
      <c r="J108" t="str">
        <f t="shared" si="11"/>
        <v>&lt;G1P&gt;`     BTS Boys</v>
      </c>
    </row>
    <row r="109" spans="1:10" x14ac:dyDescent="0.25">
      <c r="A109" s="16">
        <v>1054</v>
      </c>
      <c r="B109" s="11" t="s">
        <v>472</v>
      </c>
      <c r="C109" t="s">
        <v>16</v>
      </c>
      <c r="D109" t="s">
        <v>318</v>
      </c>
      <c r="F109" t="s">
        <v>326</v>
      </c>
      <c r="G109">
        <f t="shared" si="9"/>
        <v>1054</v>
      </c>
      <c r="H109" t="str">
        <f t="shared" si="10"/>
        <v>`     Vouchers</v>
      </c>
      <c r="I109" t="s">
        <v>522</v>
      </c>
      <c r="J109" t="str">
        <f t="shared" si="11"/>
        <v>&lt;G1P&gt;`     Vouchers</v>
      </c>
    </row>
    <row r="110" spans="1:10" x14ac:dyDescent="0.25">
      <c r="A110" s="16">
        <v>1055</v>
      </c>
      <c r="B110" s="11" t="s">
        <v>473</v>
      </c>
      <c r="C110" t="s">
        <v>16</v>
      </c>
      <c r="D110" t="s">
        <v>318</v>
      </c>
      <c r="F110" t="s">
        <v>326</v>
      </c>
      <c r="G110">
        <f t="shared" si="9"/>
        <v>1055</v>
      </c>
      <c r="H110" t="str">
        <f t="shared" si="10"/>
        <v>`     Ara</v>
      </c>
      <c r="I110" t="s">
        <v>522</v>
      </c>
      <c r="J110" t="str">
        <f t="shared" si="11"/>
        <v>&lt;G1P&gt;`     Ara</v>
      </c>
    </row>
    <row r="111" spans="1:10" x14ac:dyDescent="0.25">
      <c r="A111" s="16">
        <v>1057</v>
      </c>
      <c r="B111" s="11" t="s">
        <v>474</v>
      </c>
      <c r="C111" t="s">
        <v>16</v>
      </c>
      <c r="D111" t="s">
        <v>318</v>
      </c>
      <c r="F111" t="s">
        <v>326</v>
      </c>
      <c r="G111">
        <f t="shared" si="9"/>
        <v>1057</v>
      </c>
      <c r="H111" t="str">
        <f t="shared" si="10"/>
        <v>`     SB19</v>
      </c>
      <c r="I111" t="s">
        <v>522</v>
      </c>
      <c r="J111" t="str">
        <f t="shared" si="11"/>
        <v>&lt;G1P&gt;`     SB19</v>
      </c>
    </row>
    <row r="112" spans="1:10" x14ac:dyDescent="0.25">
      <c r="A112" s="16">
        <v>1060</v>
      </c>
      <c r="B112" s="11" t="s">
        <v>335</v>
      </c>
      <c r="C112" t="s">
        <v>16</v>
      </c>
      <c r="D112" t="s">
        <v>318</v>
      </c>
      <c r="F112" t="s">
        <v>326</v>
      </c>
      <c r="G112">
        <f t="shared" si="9"/>
        <v>1060</v>
      </c>
      <c r="H112" t="str">
        <f t="shared" si="10"/>
        <v>`     Lazada</v>
      </c>
      <c r="I112" t="s">
        <v>522</v>
      </c>
      <c r="J112" t="str">
        <f t="shared" si="11"/>
        <v>&lt;G1P&gt;`     Lazada</v>
      </c>
    </row>
    <row r="113" spans="1:10" x14ac:dyDescent="0.25">
      <c r="A113" s="26">
        <v>1074</v>
      </c>
      <c r="B113" s="37" t="s">
        <v>475</v>
      </c>
      <c r="C113" t="s">
        <v>16</v>
      </c>
      <c r="D113" t="s">
        <v>318</v>
      </c>
      <c r="F113" t="s">
        <v>326</v>
      </c>
      <c r="G113">
        <f t="shared" si="9"/>
        <v>1074</v>
      </c>
      <c r="H113" t="str">
        <f t="shared" si="10"/>
        <v>`     Hassle free</v>
      </c>
      <c r="I113" t="s">
        <v>522</v>
      </c>
      <c r="J113" t="str">
        <f t="shared" si="11"/>
        <v>&lt;G1P&gt;`     Hassle free</v>
      </c>
    </row>
    <row r="114" spans="1:10" x14ac:dyDescent="0.25">
      <c r="A114" s="26">
        <v>1075</v>
      </c>
      <c r="B114" s="37" t="s">
        <v>476</v>
      </c>
      <c r="C114" t="s">
        <v>16</v>
      </c>
      <c r="D114" t="s">
        <v>318</v>
      </c>
      <c r="F114" t="s">
        <v>326</v>
      </c>
      <c r="G114">
        <f t="shared" si="9"/>
        <v>1075</v>
      </c>
      <c r="H114" t="str">
        <f t="shared" si="10"/>
        <v>`     No smarth phone</v>
      </c>
      <c r="I114" t="s">
        <v>522</v>
      </c>
      <c r="J114" t="str">
        <f t="shared" si="11"/>
        <v>&lt;G1P&gt;`     No smarth phone</v>
      </c>
    </row>
    <row r="115" spans="1:10" x14ac:dyDescent="0.25">
      <c r="A115" s="26">
        <v>1077</v>
      </c>
      <c r="B115" s="37" t="s">
        <v>477</v>
      </c>
      <c r="C115" t="s">
        <v>16</v>
      </c>
      <c r="D115" t="s">
        <v>318</v>
      </c>
      <c r="F115" t="s">
        <v>326</v>
      </c>
      <c r="G115">
        <f t="shared" si="9"/>
        <v>1077</v>
      </c>
      <c r="H115" t="str">
        <f t="shared" si="10"/>
        <v>`     Show how to download of Gcash</v>
      </c>
      <c r="I115" t="s">
        <v>522</v>
      </c>
      <c r="J115" t="str">
        <f t="shared" si="11"/>
        <v>&lt;G1P&gt;`     Show how to download of Gcash</v>
      </c>
    </row>
    <row r="116" spans="1:10" x14ac:dyDescent="0.25">
      <c r="A116" s="24">
        <v>1097</v>
      </c>
      <c r="B116" s="35" t="s">
        <v>478</v>
      </c>
      <c r="C116" t="s">
        <v>16</v>
      </c>
      <c r="D116" t="s">
        <v>318</v>
      </c>
      <c r="F116" t="s">
        <v>326</v>
      </c>
      <c r="G116">
        <f t="shared" si="9"/>
        <v>1097</v>
      </c>
      <c r="H116" t="str">
        <f t="shared" si="10"/>
        <v xml:space="preserve">`     Family eats happily because they have money </v>
      </c>
      <c r="I116" t="s">
        <v>522</v>
      </c>
      <c r="J116" t="str">
        <f t="shared" si="11"/>
        <v xml:space="preserve">&lt;G1P&gt;`     Family eats happily because they have money </v>
      </c>
    </row>
    <row r="117" spans="1:10" x14ac:dyDescent="0.25">
      <c r="A117" s="24">
        <v>1098</v>
      </c>
      <c r="B117" s="35" t="s">
        <v>479</v>
      </c>
      <c r="C117" t="s">
        <v>16</v>
      </c>
      <c r="D117" t="s">
        <v>318</v>
      </c>
      <c r="F117" t="s">
        <v>326</v>
      </c>
      <c r="G117">
        <f t="shared" si="9"/>
        <v>1098</v>
      </c>
      <c r="H117" t="str">
        <f t="shared" si="10"/>
        <v>`     Damaged items have been repaired or replaced</v>
      </c>
      <c r="I117" t="s">
        <v>522</v>
      </c>
      <c r="J117" t="str">
        <f t="shared" si="11"/>
        <v>&lt;G1P&gt;`     Damaged items have been repaired or replaced</v>
      </c>
    </row>
    <row r="118" spans="1:10" x14ac:dyDescent="0.25">
      <c r="A118" s="25">
        <v>1109</v>
      </c>
      <c r="B118" s="36" t="s">
        <v>480</v>
      </c>
      <c r="C118" t="s">
        <v>16</v>
      </c>
      <c r="D118" t="s">
        <v>318</v>
      </c>
      <c r="F118" t="s">
        <v>326</v>
      </c>
      <c r="G118">
        <f t="shared" si="9"/>
        <v>1109</v>
      </c>
      <c r="H118" t="str">
        <f t="shared" si="10"/>
        <v>`     Encourage use of Gcash</v>
      </c>
      <c r="I118" t="s">
        <v>522</v>
      </c>
      <c r="J118" t="str">
        <f t="shared" si="11"/>
        <v>&lt;G1P&gt;`     Encourage use of Gcash</v>
      </c>
    </row>
    <row r="119" spans="1:10" x14ac:dyDescent="0.25">
      <c r="A119" s="25">
        <v>1110</v>
      </c>
      <c r="B119" s="36" t="s">
        <v>481</v>
      </c>
      <c r="C119" t="s">
        <v>16</v>
      </c>
      <c r="D119" t="s">
        <v>318</v>
      </c>
      <c r="F119" t="s">
        <v>326</v>
      </c>
      <c r="G119">
        <f t="shared" si="9"/>
        <v>1110</v>
      </c>
      <c r="H119" t="str">
        <f t="shared" si="10"/>
        <v>`     In Showtime</v>
      </c>
      <c r="I119" t="s">
        <v>522</v>
      </c>
      <c r="J119" t="str">
        <f t="shared" si="11"/>
        <v>&lt;G1P&gt;`     In Showtime</v>
      </c>
    </row>
    <row r="120" spans="1:10" x14ac:dyDescent="0.25">
      <c r="A120" s="25">
        <v>1111</v>
      </c>
      <c r="B120" s="36" t="s">
        <v>482</v>
      </c>
      <c r="C120" t="s">
        <v>16</v>
      </c>
      <c r="D120" t="s">
        <v>318</v>
      </c>
      <c r="F120" t="s">
        <v>326</v>
      </c>
      <c r="G120">
        <f t="shared" si="9"/>
        <v>1111</v>
      </c>
      <c r="H120" t="str">
        <f t="shared" si="10"/>
        <v>`     Scatter</v>
      </c>
      <c r="I120" t="s">
        <v>522</v>
      </c>
      <c r="J120" t="str">
        <f t="shared" si="11"/>
        <v>&lt;G1P&gt;`     Scatter</v>
      </c>
    </row>
    <row r="121" spans="1:10" x14ac:dyDescent="0.25">
      <c r="A121" s="25">
        <v>1112</v>
      </c>
      <c r="B121" s="36" t="s">
        <v>483</v>
      </c>
      <c r="C121" t="s">
        <v>16</v>
      </c>
      <c r="D121" t="s">
        <v>318</v>
      </c>
      <c r="F121" t="s">
        <v>326</v>
      </c>
      <c r="G121">
        <f t="shared" si="9"/>
        <v>1112</v>
      </c>
      <c r="H121" t="str">
        <f t="shared" si="10"/>
        <v>`     Shopping discount</v>
      </c>
      <c r="I121" t="s">
        <v>522</v>
      </c>
      <c r="J121" t="str">
        <f t="shared" si="11"/>
        <v>&lt;G1P&gt;`     Shopping discount</v>
      </c>
    </row>
    <row r="122" spans="1:10" x14ac:dyDescent="0.25">
      <c r="A122" s="25">
        <v>1114</v>
      </c>
      <c r="B122" s="36" t="s">
        <v>484</v>
      </c>
      <c r="C122" t="s">
        <v>16</v>
      </c>
      <c r="D122" t="s">
        <v>318</v>
      </c>
      <c r="F122" t="s">
        <v>326</v>
      </c>
      <c r="G122">
        <f t="shared" si="9"/>
        <v>1114</v>
      </c>
      <c r="H122" t="str">
        <f t="shared" si="10"/>
        <v>`     Tiktok ads in Gcash</v>
      </c>
      <c r="I122" t="s">
        <v>521</v>
      </c>
      <c r="J122" t="str">
        <f t="shared" si="11"/>
        <v>&lt;G2E&gt;&lt;G1P&gt;`     Tiktok ads in Gcash</v>
      </c>
    </row>
    <row r="123" spans="1:10" x14ac:dyDescent="0.25">
      <c r="A123" s="30" t="s">
        <v>517</v>
      </c>
      <c r="B123" s="31" t="s">
        <v>331</v>
      </c>
      <c r="C123" t="s">
        <v>6</v>
      </c>
      <c r="D123" t="s">
        <v>323</v>
      </c>
      <c r="E123" t="s">
        <v>322</v>
      </c>
      <c r="F123" t="s">
        <v>327</v>
      </c>
      <c r="G123" t="str">
        <f t="shared" si="9"/>
        <v>1005+1011+1015+1022+1042+1044+1052+1061+1062+1063+1065+1066+1091+1093+1094+1096+1083+1099+1100+1113+1117+1118+1106</v>
      </c>
      <c r="H123" t="str">
        <f t="shared" si="10"/>
        <v>`VAGUE (NET)&lt;Q&gt;</v>
      </c>
      <c r="J123" t="str">
        <f t="shared" si="11"/>
        <v>`VAGUE (NET)&lt;Q&gt;</v>
      </c>
    </row>
    <row r="124" spans="1:10" x14ac:dyDescent="0.25">
      <c r="A124" s="16">
        <v>1005</v>
      </c>
      <c r="B124" s="11" t="s">
        <v>485</v>
      </c>
      <c r="C124" t="s">
        <v>16</v>
      </c>
      <c r="D124" t="s">
        <v>318</v>
      </c>
      <c r="F124" t="s">
        <v>326</v>
      </c>
      <c r="G124">
        <f t="shared" si="9"/>
        <v>1005</v>
      </c>
      <c r="H124" t="str">
        <f t="shared" si="10"/>
        <v>`     About the signs</v>
      </c>
      <c r="I124" t="s">
        <v>520</v>
      </c>
      <c r="J124" t="str">
        <f t="shared" si="11"/>
        <v>&lt;G2B&gt;&lt;G1P&gt;`     About the signs</v>
      </c>
    </row>
    <row r="125" spans="1:10" x14ac:dyDescent="0.25">
      <c r="A125" s="16">
        <v>1011</v>
      </c>
      <c r="B125" s="11" t="s">
        <v>486</v>
      </c>
      <c r="C125" t="s">
        <v>16</v>
      </c>
      <c r="D125" t="s">
        <v>318</v>
      </c>
      <c r="F125" t="s">
        <v>326</v>
      </c>
      <c r="G125">
        <f t="shared" si="9"/>
        <v>1011</v>
      </c>
      <c r="H125" t="str">
        <f t="shared" si="10"/>
        <v>`     Takes a long time to process</v>
      </c>
      <c r="I125" t="s">
        <v>522</v>
      </c>
      <c r="J125" t="str">
        <f t="shared" si="11"/>
        <v>&lt;G1P&gt;`     Takes a long time to process</v>
      </c>
    </row>
    <row r="126" spans="1:10" x14ac:dyDescent="0.25">
      <c r="A126" s="27">
        <v>1015</v>
      </c>
      <c r="B126" s="11" t="s">
        <v>487</v>
      </c>
      <c r="C126" t="s">
        <v>16</v>
      </c>
      <c r="D126" t="s">
        <v>318</v>
      </c>
      <c r="F126" t="s">
        <v>326</v>
      </c>
      <c r="G126">
        <f t="shared" si="9"/>
        <v>1015</v>
      </c>
      <c r="H126" t="str">
        <f t="shared" si="10"/>
        <v>`     Sometimes for updating</v>
      </c>
      <c r="I126" t="s">
        <v>522</v>
      </c>
      <c r="J126" t="str">
        <f t="shared" si="11"/>
        <v>&lt;G1P&gt;`     Sometimes for updating</v>
      </c>
    </row>
    <row r="127" spans="1:10" x14ac:dyDescent="0.25">
      <c r="A127" s="27">
        <v>1022</v>
      </c>
      <c r="B127" s="11" t="s">
        <v>488</v>
      </c>
      <c r="C127" t="s">
        <v>16</v>
      </c>
      <c r="D127" t="s">
        <v>318</v>
      </c>
      <c r="F127" t="s">
        <v>326</v>
      </c>
      <c r="G127">
        <f t="shared" si="9"/>
        <v>1022</v>
      </c>
      <c r="H127" t="str">
        <f t="shared" si="10"/>
        <v>`     Facebook</v>
      </c>
      <c r="I127" t="s">
        <v>522</v>
      </c>
      <c r="J127" t="str">
        <f t="shared" si="11"/>
        <v>&lt;G1P&gt;`     Facebook</v>
      </c>
    </row>
    <row r="128" spans="1:10" x14ac:dyDescent="0.25">
      <c r="A128" s="16">
        <v>1042</v>
      </c>
      <c r="B128" s="11" t="s">
        <v>489</v>
      </c>
      <c r="C128" t="s">
        <v>16</v>
      </c>
      <c r="D128" t="s">
        <v>318</v>
      </c>
      <c r="F128" t="s">
        <v>326</v>
      </c>
      <c r="G128">
        <f t="shared" si="9"/>
        <v>1042</v>
      </c>
      <c r="H128" t="str">
        <f t="shared" si="10"/>
        <v>`     Korean</v>
      </c>
      <c r="I128" t="s">
        <v>522</v>
      </c>
      <c r="J128" t="str">
        <f t="shared" si="11"/>
        <v>&lt;G1P&gt;`     Korean</v>
      </c>
    </row>
    <row r="129" spans="1:10" x14ac:dyDescent="0.25">
      <c r="A129" s="16">
        <v>1044</v>
      </c>
      <c r="B129" s="11" t="s">
        <v>490</v>
      </c>
      <c r="C129" t="s">
        <v>16</v>
      </c>
      <c r="D129" t="s">
        <v>318</v>
      </c>
      <c r="F129" t="s">
        <v>326</v>
      </c>
      <c r="G129">
        <f t="shared" si="9"/>
        <v>1044</v>
      </c>
      <c r="H129" t="str">
        <f t="shared" si="10"/>
        <v>`     Music video of BGYO</v>
      </c>
      <c r="I129" t="s">
        <v>522</v>
      </c>
      <c r="J129" t="str">
        <f t="shared" si="11"/>
        <v>&lt;G1P&gt;`     Music video of BGYO</v>
      </c>
    </row>
    <row r="130" spans="1:10" x14ac:dyDescent="0.25">
      <c r="A130" s="16">
        <v>1052</v>
      </c>
      <c r="B130" s="11" t="s">
        <v>491</v>
      </c>
      <c r="C130" t="s">
        <v>16</v>
      </c>
      <c r="D130" t="s">
        <v>318</v>
      </c>
      <c r="F130" t="s">
        <v>326</v>
      </c>
      <c r="G130">
        <f t="shared" ref="G130:G149" si="12">IF(A130="","",A130)</f>
        <v>1052</v>
      </c>
      <c r="H130" t="str">
        <f t="shared" ref="H130:H149" si="13">_xlfn.CONCAT(D130,SUBSTITUTE(B130,"""","`"""),E130)</f>
        <v>`     Hard To Log in</v>
      </c>
      <c r="I130" t="s">
        <v>522</v>
      </c>
      <c r="J130" t="str">
        <f t="shared" ref="J130:J149" si="14">_xlfn.CONCAT(I130,H130)</f>
        <v>&lt;G1P&gt;`     Hard To Log in</v>
      </c>
    </row>
    <row r="131" spans="1:10" x14ac:dyDescent="0.25">
      <c r="A131" s="16">
        <v>1061</v>
      </c>
      <c r="B131" s="11" t="s">
        <v>492</v>
      </c>
      <c r="C131" t="s">
        <v>16</v>
      </c>
      <c r="D131" t="s">
        <v>318</v>
      </c>
      <c r="F131" t="s">
        <v>326</v>
      </c>
      <c r="G131">
        <f t="shared" si="12"/>
        <v>1061</v>
      </c>
      <c r="H131" t="str">
        <f t="shared" si="13"/>
        <v>`     Ewallet</v>
      </c>
      <c r="I131" t="s">
        <v>522</v>
      </c>
      <c r="J131" t="str">
        <f t="shared" si="14"/>
        <v>&lt;G1P&gt;`     Ewallet</v>
      </c>
    </row>
    <row r="132" spans="1:10" x14ac:dyDescent="0.25">
      <c r="A132" s="16">
        <v>1062</v>
      </c>
      <c r="B132" s="11" t="s">
        <v>493</v>
      </c>
      <c r="C132" t="s">
        <v>16</v>
      </c>
      <c r="D132" t="s">
        <v>318</v>
      </c>
      <c r="F132" t="s">
        <v>326</v>
      </c>
      <c r="G132">
        <f t="shared" si="12"/>
        <v>1062</v>
      </c>
      <c r="H132" t="str">
        <f t="shared" si="13"/>
        <v>`     Rewards</v>
      </c>
      <c r="I132" t="s">
        <v>522</v>
      </c>
      <c r="J132" t="str">
        <f t="shared" si="14"/>
        <v>&lt;G1P&gt;`     Rewards</v>
      </c>
    </row>
    <row r="133" spans="1:10" x14ac:dyDescent="0.25">
      <c r="A133" s="16">
        <v>1063</v>
      </c>
      <c r="B133" s="11" t="s">
        <v>333</v>
      </c>
      <c r="C133" t="s">
        <v>16</v>
      </c>
      <c r="D133" t="s">
        <v>318</v>
      </c>
      <c r="F133" t="s">
        <v>326</v>
      </c>
      <c r="G133">
        <f t="shared" si="12"/>
        <v>1063</v>
      </c>
      <c r="H133" t="str">
        <f t="shared" si="13"/>
        <v>`     Poster</v>
      </c>
      <c r="I133" t="s">
        <v>522</v>
      </c>
      <c r="J133" t="str">
        <f t="shared" si="14"/>
        <v>&lt;G1P&gt;`     Poster</v>
      </c>
    </row>
    <row r="134" spans="1:10" x14ac:dyDescent="0.25">
      <c r="A134" s="16">
        <v>1065</v>
      </c>
      <c r="B134" s="11" t="s">
        <v>337</v>
      </c>
      <c r="C134" t="s">
        <v>16</v>
      </c>
      <c r="D134" t="s">
        <v>318</v>
      </c>
      <c r="F134" t="s">
        <v>326</v>
      </c>
      <c r="G134">
        <f t="shared" si="12"/>
        <v>1065</v>
      </c>
      <c r="H134" t="str">
        <f t="shared" si="13"/>
        <v>`     Affordable</v>
      </c>
      <c r="I134" t="s">
        <v>522</v>
      </c>
      <c r="J134" t="str">
        <f t="shared" si="14"/>
        <v>&lt;G1P&gt;`     Affordable</v>
      </c>
    </row>
    <row r="135" spans="1:10" x14ac:dyDescent="0.25">
      <c r="A135" s="16">
        <v>1066</v>
      </c>
      <c r="B135" s="11" t="s">
        <v>494</v>
      </c>
      <c r="C135" t="s">
        <v>16</v>
      </c>
      <c r="D135" t="s">
        <v>318</v>
      </c>
      <c r="F135" t="s">
        <v>326</v>
      </c>
      <c r="G135">
        <f t="shared" si="12"/>
        <v>1066</v>
      </c>
      <c r="H135" t="str">
        <f t="shared" si="13"/>
        <v>`     Easy to use</v>
      </c>
      <c r="I135" t="s">
        <v>522</v>
      </c>
      <c r="J135" t="str">
        <f t="shared" si="14"/>
        <v>&lt;G1P&gt;`     Easy to use</v>
      </c>
    </row>
    <row r="136" spans="1:10" x14ac:dyDescent="0.25">
      <c r="A136" s="24">
        <v>1091</v>
      </c>
      <c r="B136" s="35" t="s">
        <v>495</v>
      </c>
      <c r="C136" t="s">
        <v>16</v>
      </c>
      <c r="D136" t="s">
        <v>318</v>
      </c>
      <c r="F136" t="s">
        <v>326</v>
      </c>
      <c r="G136">
        <f t="shared" si="12"/>
        <v>1091</v>
      </c>
      <c r="H136" t="str">
        <f t="shared" si="13"/>
        <v>`     Newspeed</v>
      </c>
      <c r="I136" t="s">
        <v>522</v>
      </c>
      <c r="J136" t="str">
        <f t="shared" si="14"/>
        <v>&lt;G1P&gt;`     Newspeed</v>
      </c>
    </row>
    <row r="137" spans="1:10" x14ac:dyDescent="0.25">
      <c r="A137" s="24">
        <v>1093</v>
      </c>
      <c r="B137" s="35" t="s">
        <v>496</v>
      </c>
      <c r="C137" t="s">
        <v>16</v>
      </c>
      <c r="D137" t="s">
        <v>318</v>
      </c>
      <c r="F137" t="s">
        <v>326</v>
      </c>
      <c r="G137">
        <f t="shared" si="12"/>
        <v>1093</v>
      </c>
      <c r="H137" t="str">
        <f t="shared" si="13"/>
        <v>`     Like Cellphone gadgets</v>
      </c>
      <c r="I137" t="s">
        <v>522</v>
      </c>
      <c r="J137" t="str">
        <f t="shared" si="14"/>
        <v>&lt;G1P&gt;`     Like Cellphone gadgets</v>
      </c>
    </row>
    <row r="138" spans="1:10" x14ac:dyDescent="0.25">
      <c r="A138" s="24">
        <v>1094</v>
      </c>
      <c r="B138" s="35" t="s">
        <v>497</v>
      </c>
      <c r="C138" t="s">
        <v>16</v>
      </c>
      <c r="D138" t="s">
        <v>318</v>
      </c>
      <c r="F138" t="s">
        <v>326</v>
      </c>
      <c r="G138">
        <f t="shared" si="12"/>
        <v>1094</v>
      </c>
      <c r="H138" t="str">
        <f t="shared" si="13"/>
        <v>`     Billboard</v>
      </c>
      <c r="I138" t="s">
        <v>522</v>
      </c>
      <c r="J138" t="str">
        <f t="shared" si="14"/>
        <v>&lt;G1P&gt;`     Billboard</v>
      </c>
    </row>
    <row r="139" spans="1:10" x14ac:dyDescent="0.25">
      <c r="A139" s="24">
        <v>1096</v>
      </c>
      <c r="B139" s="35" t="s">
        <v>498</v>
      </c>
      <c r="C139" t="s">
        <v>16</v>
      </c>
      <c r="D139" t="s">
        <v>318</v>
      </c>
      <c r="F139" t="s">
        <v>326</v>
      </c>
      <c r="G139">
        <f t="shared" si="12"/>
        <v>1096</v>
      </c>
      <c r="H139" t="str">
        <f t="shared" si="13"/>
        <v>`     In a vehicle group</v>
      </c>
      <c r="I139" t="s">
        <v>522</v>
      </c>
      <c r="J139" t="str">
        <f t="shared" si="14"/>
        <v>&lt;G1P&gt;`     In a vehicle group</v>
      </c>
    </row>
    <row r="140" spans="1:10" x14ac:dyDescent="0.25">
      <c r="A140" s="24">
        <v>1083</v>
      </c>
      <c r="B140" s="35" t="s">
        <v>499</v>
      </c>
      <c r="C140" t="s">
        <v>16</v>
      </c>
      <c r="D140" t="s">
        <v>318</v>
      </c>
      <c r="F140" t="s">
        <v>326</v>
      </c>
      <c r="G140">
        <f t="shared" si="12"/>
        <v>1083</v>
      </c>
      <c r="H140" t="str">
        <f t="shared" si="13"/>
        <v>`     Can be purchased using Gcash</v>
      </c>
      <c r="I140" t="s">
        <v>522</v>
      </c>
      <c r="J140" t="str">
        <f t="shared" si="14"/>
        <v>&lt;G1P&gt;`     Can be purchased using Gcash</v>
      </c>
    </row>
    <row r="141" spans="1:10" x14ac:dyDescent="0.25">
      <c r="A141" s="25">
        <v>1099</v>
      </c>
      <c r="B141" s="36" t="s">
        <v>500</v>
      </c>
      <c r="C141" t="s">
        <v>16</v>
      </c>
      <c r="D141" t="s">
        <v>318</v>
      </c>
      <c r="F141" t="s">
        <v>326</v>
      </c>
      <c r="G141">
        <f t="shared" si="12"/>
        <v>1099</v>
      </c>
      <c r="H141" t="str">
        <f t="shared" si="13"/>
        <v>`     Barangay Gcash</v>
      </c>
      <c r="I141" t="s">
        <v>522</v>
      </c>
      <c r="J141" t="str">
        <f t="shared" si="14"/>
        <v>&lt;G1P&gt;`     Barangay Gcash</v>
      </c>
    </row>
    <row r="142" spans="1:10" x14ac:dyDescent="0.25">
      <c r="A142" s="25">
        <v>1100</v>
      </c>
      <c r="B142" s="36" t="s">
        <v>501</v>
      </c>
      <c r="C142" t="s">
        <v>16</v>
      </c>
      <c r="D142" t="s">
        <v>318</v>
      </c>
      <c r="F142" t="s">
        <v>326</v>
      </c>
      <c r="G142">
        <f t="shared" si="12"/>
        <v>1100</v>
      </c>
      <c r="H142" t="str">
        <f t="shared" si="13"/>
        <v>`     Basic pay</v>
      </c>
      <c r="I142" t="s">
        <v>522</v>
      </c>
      <c r="J142" t="str">
        <f t="shared" si="14"/>
        <v>&lt;G1P&gt;`     Basic pay</v>
      </c>
    </row>
    <row r="143" spans="1:10" x14ac:dyDescent="0.25">
      <c r="A143" s="25">
        <v>1113</v>
      </c>
      <c r="B143" s="36" t="s">
        <v>334</v>
      </c>
      <c r="C143" t="s">
        <v>16</v>
      </c>
      <c r="D143" t="s">
        <v>318</v>
      </c>
      <c r="F143" t="s">
        <v>326</v>
      </c>
      <c r="G143">
        <f t="shared" si="12"/>
        <v>1113</v>
      </c>
      <c r="H143" t="str">
        <f t="shared" si="13"/>
        <v>`     Tarpaulin</v>
      </c>
      <c r="I143" t="s">
        <v>522</v>
      </c>
      <c r="J143" t="str">
        <f t="shared" si="14"/>
        <v>&lt;G1P&gt;`     Tarpaulin</v>
      </c>
    </row>
    <row r="144" spans="1:10" x14ac:dyDescent="0.25">
      <c r="A144" s="25">
        <v>1117</v>
      </c>
      <c r="B144" s="36" t="s">
        <v>502</v>
      </c>
      <c r="C144" t="s">
        <v>16</v>
      </c>
      <c r="D144" t="s">
        <v>318</v>
      </c>
      <c r="F144" t="s">
        <v>326</v>
      </c>
      <c r="G144">
        <f t="shared" si="12"/>
        <v>1117</v>
      </c>
      <c r="H144" t="str">
        <f t="shared" si="13"/>
        <v>`     About money</v>
      </c>
      <c r="I144" t="s">
        <v>522</v>
      </c>
      <c r="J144" t="str">
        <f t="shared" si="14"/>
        <v>&lt;G1P&gt;`     About money</v>
      </c>
    </row>
    <row r="145" spans="1:10" x14ac:dyDescent="0.25">
      <c r="A145" s="25">
        <v>1118</v>
      </c>
      <c r="B145" s="36" t="s">
        <v>503</v>
      </c>
      <c r="C145" t="s">
        <v>16</v>
      </c>
      <c r="D145" t="s">
        <v>318</v>
      </c>
      <c r="F145" t="s">
        <v>326</v>
      </c>
      <c r="G145">
        <f t="shared" si="12"/>
        <v>1118</v>
      </c>
      <c r="H145" t="str">
        <f t="shared" si="13"/>
        <v>`     Won of 100k</v>
      </c>
      <c r="I145" t="s">
        <v>522</v>
      </c>
      <c r="J145" t="str">
        <f t="shared" si="14"/>
        <v>&lt;G1P&gt;`     Won of 100k</v>
      </c>
    </row>
    <row r="146" spans="1:10" x14ac:dyDescent="0.25">
      <c r="A146" s="25">
        <v>1106</v>
      </c>
      <c r="B146" s="36" t="s">
        <v>504</v>
      </c>
      <c r="C146" t="s">
        <v>16</v>
      </c>
      <c r="D146" t="s">
        <v>318</v>
      </c>
      <c r="F146" t="s">
        <v>326</v>
      </c>
      <c r="G146">
        <f t="shared" si="12"/>
        <v>1106</v>
      </c>
      <c r="H146" t="str">
        <f t="shared" si="13"/>
        <v>`     Gcash Logo</v>
      </c>
      <c r="I146" t="s">
        <v>521</v>
      </c>
      <c r="J146" t="str">
        <f t="shared" si="14"/>
        <v>&lt;G2E&gt;&lt;G1P&gt;`     Gcash Logo</v>
      </c>
    </row>
    <row r="147" spans="1:10" x14ac:dyDescent="0.25">
      <c r="A147" s="16">
        <v>9997</v>
      </c>
      <c r="B147" s="11" t="s">
        <v>505</v>
      </c>
      <c r="G147">
        <f t="shared" si="12"/>
        <v>9997</v>
      </c>
      <c r="H147" t="str">
        <f t="shared" si="13"/>
        <v>Don't remember / Don’t recall</v>
      </c>
      <c r="J147" t="str">
        <f t="shared" si="14"/>
        <v>Don't remember / Don’t recall</v>
      </c>
    </row>
    <row r="148" spans="1:10" x14ac:dyDescent="0.25">
      <c r="A148" s="16">
        <v>9998</v>
      </c>
      <c r="B148" s="11" t="s">
        <v>336</v>
      </c>
      <c r="G148">
        <f t="shared" si="12"/>
        <v>9998</v>
      </c>
      <c r="H148" t="str">
        <f t="shared" si="13"/>
        <v>Don't know</v>
      </c>
      <c r="J148" t="str">
        <f t="shared" si="14"/>
        <v>Don't know</v>
      </c>
    </row>
    <row r="149" spans="1:10" x14ac:dyDescent="0.25">
      <c r="A149" s="16" t="s">
        <v>506</v>
      </c>
      <c r="B149" s="11" t="s">
        <v>303</v>
      </c>
      <c r="G149" t="str">
        <f t="shared" si="12"/>
        <v>1006+9999</v>
      </c>
      <c r="H149" t="str">
        <f t="shared" si="13"/>
        <v>None</v>
      </c>
      <c r="J149" t="str">
        <f t="shared" si="14"/>
        <v>None</v>
      </c>
    </row>
  </sheetData>
  <autoFilter ref="A1:J149" xr:uid="{034D6872-002F-4A4B-9177-3DE1C3F21B47}"/>
  <conditionalFormatting sqref="A20:A149 A1:A13">
    <cfRule type="duplicateValues" dxfId="109" priority="6"/>
  </conditionalFormatting>
  <conditionalFormatting sqref="B133 B136:B149 B114:B130 B87:B110 B43:B85 B20:B40 B8:B13 B1:B6">
    <cfRule type="duplicateValues" dxfId="108" priority="5"/>
  </conditionalFormatting>
  <conditionalFormatting sqref="A14:A19">
    <cfRule type="duplicateValues" dxfId="107" priority="3"/>
  </conditionalFormatting>
  <conditionalFormatting sqref="B14:B19">
    <cfRule type="duplicateValues" dxfId="106" priority="4"/>
  </conditionalFormatting>
  <conditionalFormatting sqref="G1">
    <cfRule type="duplicateValues" dxfId="105" priority="2"/>
  </conditionalFormatting>
  <conditionalFormatting sqref="H1">
    <cfRule type="duplicateValues" dxfId="104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4A6A5-930A-40CA-A0A4-9E4E1B977D84}">
  <sheetPr codeName="Sheet2"/>
  <dimension ref="A1:I27"/>
  <sheetViews>
    <sheetView workbookViewId="0">
      <selection activeCell="D10" sqref="D10"/>
    </sheetView>
  </sheetViews>
  <sheetFormatPr defaultRowHeight="15" x14ac:dyDescent="0.25"/>
  <cols>
    <col min="1" max="1" width="14.140625" customWidth="1"/>
    <col min="2" max="2" width="7.7109375" bestFit="1" customWidth="1"/>
    <col min="3" max="3" width="10.28515625" bestFit="1" customWidth="1"/>
    <col min="4" max="4" width="23.140625" bestFit="1" customWidth="1"/>
  </cols>
  <sheetData>
    <row r="1" spans="1:9" x14ac:dyDescent="0.25">
      <c r="A1" t="s">
        <v>324</v>
      </c>
      <c r="B1" t="s">
        <v>524</v>
      </c>
      <c r="C1" t="s">
        <v>525</v>
      </c>
      <c r="D1" t="s">
        <v>526</v>
      </c>
      <c r="I1" t="s">
        <v>523</v>
      </c>
    </row>
    <row r="2" spans="1:9" x14ac:dyDescent="0.25">
      <c r="A2" s="38" t="s">
        <v>326</v>
      </c>
      <c r="B2" s="38" t="s">
        <v>327</v>
      </c>
      <c r="C2" s="38" t="s">
        <v>326</v>
      </c>
      <c r="D2" s="38" t="s">
        <v>520</v>
      </c>
    </row>
    <row r="3" spans="1:9" x14ac:dyDescent="0.25">
      <c r="A3" s="38" t="s">
        <v>326</v>
      </c>
      <c r="B3" s="38" t="s">
        <v>327</v>
      </c>
      <c r="C3" s="38" t="s">
        <v>328</v>
      </c>
      <c r="D3" s="38" t="s">
        <v>520</v>
      </c>
    </row>
    <row r="4" spans="1:9" x14ac:dyDescent="0.25">
      <c r="A4" s="38" t="s">
        <v>326</v>
      </c>
      <c r="B4" s="38" t="s">
        <v>326</v>
      </c>
      <c r="C4" s="38" t="s">
        <v>326</v>
      </c>
      <c r="D4" s="38" t="s">
        <v>522</v>
      </c>
    </row>
    <row r="5" spans="1:9" x14ac:dyDescent="0.25">
      <c r="A5" s="38" t="s">
        <v>326</v>
      </c>
      <c r="B5" s="38" t="s">
        <v>327</v>
      </c>
      <c r="C5" s="38" t="s">
        <v>327</v>
      </c>
      <c r="D5" s="38" t="s">
        <v>522</v>
      </c>
    </row>
    <row r="6" spans="1:9" x14ac:dyDescent="0.25">
      <c r="A6" s="38" t="s">
        <v>326</v>
      </c>
      <c r="B6" s="38" t="s">
        <v>328</v>
      </c>
      <c r="C6" s="38" t="s">
        <v>328</v>
      </c>
      <c r="D6" s="38" t="s">
        <v>522</v>
      </c>
    </row>
    <row r="7" spans="1:9" x14ac:dyDescent="0.25">
      <c r="A7" s="38" t="s">
        <v>326</v>
      </c>
      <c r="B7" s="38" t="s">
        <v>326</v>
      </c>
      <c r="C7" s="38" t="s">
        <v>328</v>
      </c>
      <c r="D7" s="38" t="s">
        <v>522</v>
      </c>
    </row>
    <row r="8" spans="1:9" x14ac:dyDescent="0.25">
      <c r="A8" s="38" t="s">
        <v>326</v>
      </c>
      <c r="B8" s="38" t="s">
        <v>326</v>
      </c>
      <c r="C8" s="38" t="s">
        <v>327</v>
      </c>
      <c r="D8" s="38" t="s">
        <v>521</v>
      </c>
    </row>
    <row r="9" spans="1:9" x14ac:dyDescent="0.25">
      <c r="A9" s="38" t="s">
        <v>326</v>
      </c>
      <c r="B9" s="38" t="s">
        <v>326</v>
      </c>
      <c r="C9" s="38"/>
      <c r="D9" s="38" t="s">
        <v>521</v>
      </c>
    </row>
    <row r="10" spans="1:9" x14ac:dyDescent="0.25">
      <c r="A10" s="38" t="s">
        <v>326</v>
      </c>
      <c r="B10" s="38" t="s">
        <v>327</v>
      </c>
      <c r="C10" s="38"/>
      <c r="D10" s="38" t="s">
        <v>522</v>
      </c>
    </row>
    <row r="11" spans="1:9" x14ac:dyDescent="0.25">
      <c r="A11" s="39" t="s">
        <v>328</v>
      </c>
      <c r="B11" s="39" t="s">
        <v>326</v>
      </c>
      <c r="C11" s="39" t="s">
        <v>327</v>
      </c>
      <c r="D11" s="39" t="s">
        <v>528</v>
      </c>
    </row>
    <row r="12" spans="1:9" x14ac:dyDescent="0.25">
      <c r="A12" s="39" t="s">
        <v>328</v>
      </c>
      <c r="B12" s="39" t="s">
        <v>326</v>
      </c>
      <c r="C12" s="39" t="s">
        <v>328</v>
      </c>
      <c r="D12" s="39" t="s">
        <v>528</v>
      </c>
    </row>
    <row r="13" spans="1:9" x14ac:dyDescent="0.25">
      <c r="A13" s="39" t="s">
        <v>328</v>
      </c>
      <c r="B13" s="39" t="s">
        <v>329</v>
      </c>
      <c r="C13" s="39" t="s">
        <v>329</v>
      </c>
      <c r="D13" s="39" t="s">
        <v>527</v>
      </c>
    </row>
    <row r="14" spans="1:9" x14ac:dyDescent="0.25">
      <c r="A14" s="39" t="s">
        <v>328</v>
      </c>
      <c r="B14" s="39" t="s">
        <v>328</v>
      </c>
      <c r="C14" s="39" t="s">
        <v>329</v>
      </c>
      <c r="D14" s="39" t="s">
        <v>527</v>
      </c>
    </row>
    <row r="15" spans="1:9" x14ac:dyDescent="0.25">
      <c r="A15" s="39" t="s">
        <v>328</v>
      </c>
      <c r="B15" s="39" t="s">
        <v>328</v>
      </c>
      <c r="C15" s="39" t="s">
        <v>328</v>
      </c>
      <c r="D15" s="39" t="s">
        <v>527</v>
      </c>
    </row>
    <row r="16" spans="1:9" x14ac:dyDescent="0.25">
      <c r="A16" s="39" t="s">
        <v>328</v>
      </c>
      <c r="B16" s="39" t="s">
        <v>326</v>
      </c>
      <c r="C16" s="39" t="s">
        <v>326</v>
      </c>
      <c r="D16" s="39" t="s">
        <v>527</v>
      </c>
    </row>
    <row r="17" spans="1:4" x14ac:dyDescent="0.25">
      <c r="A17" s="39" t="s">
        <v>328</v>
      </c>
      <c r="B17" s="39" t="s">
        <v>326</v>
      </c>
      <c r="C17" s="39" t="s">
        <v>327</v>
      </c>
      <c r="D17" s="39" t="s">
        <v>527</v>
      </c>
    </row>
    <row r="18" spans="1:4" x14ac:dyDescent="0.25">
      <c r="A18" s="39" t="s">
        <v>328</v>
      </c>
      <c r="B18" s="39" t="s">
        <v>328</v>
      </c>
      <c r="C18" s="39" t="s">
        <v>327</v>
      </c>
      <c r="D18" s="39" t="s">
        <v>529</v>
      </c>
    </row>
    <row r="19" spans="1:4" x14ac:dyDescent="0.25">
      <c r="A19" s="39" t="s">
        <v>328</v>
      </c>
      <c r="B19" s="39" t="s">
        <v>328</v>
      </c>
      <c r="C19" s="39" t="s">
        <v>326</v>
      </c>
      <c r="D19" s="39" t="s">
        <v>529</v>
      </c>
    </row>
    <row r="20" spans="1:4" x14ac:dyDescent="0.25">
      <c r="A20" s="40" t="s">
        <v>329</v>
      </c>
      <c r="B20" s="40" t="s">
        <v>328</v>
      </c>
      <c r="C20" s="40" t="s">
        <v>329</v>
      </c>
      <c r="D20" s="40" t="s">
        <v>530</v>
      </c>
    </row>
    <row r="21" spans="1:4" x14ac:dyDescent="0.25">
      <c r="A21" s="40" t="s">
        <v>329</v>
      </c>
      <c r="B21" s="40" t="s">
        <v>329</v>
      </c>
      <c r="C21" s="40" t="s">
        <v>329</v>
      </c>
      <c r="D21" s="40" t="s">
        <v>532</v>
      </c>
    </row>
    <row r="22" spans="1:4" x14ac:dyDescent="0.25">
      <c r="A22" s="40" t="s">
        <v>329</v>
      </c>
      <c r="B22" s="40" t="s">
        <v>328</v>
      </c>
      <c r="C22" s="40" t="s">
        <v>328</v>
      </c>
      <c r="D22" s="40" t="s">
        <v>532</v>
      </c>
    </row>
    <row r="23" spans="1:4" x14ac:dyDescent="0.25">
      <c r="A23" s="40" t="s">
        <v>329</v>
      </c>
      <c r="B23" s="40" t="s">
        <v>328</v>
      </c>
      <c r="C23" s="40" t="s">
        <v>326</v>
      </c>
      <c r="D23" s="40" t="s">
        <v>532</v>
      </c>
    </row>
    <row r="24" spans="1:4" x14ac:dyDescent="0.25">
      <c r="A24" s="40" t="s">
        <v>329</v>
      </c>
      <c r="B24" s="40" t="s">
        <v>328</v>
      </c>
      <c r="C24" s="40" t="s">
        <v>327</v>
      </c>
      <c r="D24" s="40" t="s">
        <v>532</v>
      </c>
    </row>
    <row r="25" spans="1:4" x14ac:dyDescent="0.25">
      <c r="A25" s="40" t="s">
        <v>329</v>
      </c>
      <c r="B25" s="40" t="s">
        <v>329</v>
      </c>
      <c r="C25" s="40" t="s">
        <v>328</v>
      </c>
      <c r="D25" s="40" t="s">
        <v>531</v>
      </c>
    </row>
    <row r="26" spans="1:4" x14ac:dyDescent="0.25">
      <c r="A26" s="40" t="s">
        <v>329</v>
      </c>
      <c r="B26" s="40" t="s">
        <v>329</v>
      </c>
      <c r="C26" s="40" t="s">
        <v>326</v>
      </c>
      <c r="D26" s="40" t="s">
        <v>531</v>
      </c>
    </row>
    <row r="27" spans="1:4" x14ac:dyDescent="0.25">
      <c r="A27" s="40" t="s">
        <v>329</v>
      </c>
      <c r="B27" s="40" t="s">
        <v>329</v>
      </c>
      <c r="C27" s="40" t="s">
        <v>327</v>
      </c>
      <c r="D27" s="40" t="s">
        <v>531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382AC-2954-425C-9CCF-02C76C1311CD}">
  <dimension ref="A1:J5"/>
  <sheetViews>
    <sheetView workbookViewId="0">
      <selection activeCell="G2" sqref="G2:H5"/>
    </sheetView>
  </sheetViews>
  <sheetFormatPr defaultRowHeight="15" x14ac:dyDescent="0.25"/>
  <sheetData>
    <row r="1" spans="1:10" x14ac:dyDescent="0.25">
      <c r="A1" t="s">
        <v>533</v>
      </c>
      <c r="B1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J1" t="s">
        <v>537</v>
      </c>
    </row>
    <row r="2" spans="1:10" x14ac:dyDescent="0.25">
      <c r="A2" s="41" t="s">
        <v>541</v>
      </c>
      <c r="B2" s="42" t="s">
        <v>538</v>
      </c>
      <c r="C2" t="s">
        <v>6</v>
      </c>
      <c r="D2" t="s">
        <v>323</v>
      </c>
      <c r="E2" t="s">
        <v>322</v>
      </c>
      <c r="F2" t="s">
        <v>327</v>
      </c>
      <c r="G2" t="str">
        <f>IF(A2="","",A2)</f>
        <v>1021+1022+1024</v>
      </c>
      <c r="H2" t="str">
        <f>_xlfn.CONCAT(D2,SUBSTITUTE(B2,"""","`"""),E2)</f>
        <v>`CABLE (NET)&lt;Q&gt;</v>
      </c>
      <c r="J2" t="str">
        <f>_xlfn.CONCAT(I2,H2)</f>
        <v>`CABLE (NET)&lt;Q&gt;</v>
      </c>
    </row>
    <row r="3" spans="1:10" x14ac:dyDescent="0.25">
      <c r="A3" s="43">
        <v>1021</v>
      </c>
      <c r="B3" s="44" t="s">
        <v>539</v>
      </c>
      <c r="C3" t="s">
        <v>16</v>
      </c>
      <c r="D3" t="s">
        <v>318</v>
      </c>
      <c r="F3" t="s">
        <v>326</v>
      </c>
      <c r="G3">
        <f>IF(A3="","",A3)</f>
        <v>1021</v>
      </c>
      <c r="H3" t="str">
        <f>_xlfn.CONCAT(D3,SUBSTITUTE(B3,"""","`"""),E3)</f>
        <v>`     Cignal</v>
      </c>
      <c r="J3" t="str">
        <f>_xlfn.CONCAT(I3,H3)</f>
        <v>`     Cignal</v>
      </c>
    </row>
    <row r="4" spans="1:10" x14ac:dyDescent="0.25">
      <c r="A4" s="43">
        <v>1022</v>
      </c>
      <c r="B4" s="44" t="s">
        <v>540</v>
      </c>
      <c r="C4" t="s">
        <v>16</v>
      </c>
      <c r="D4" t="s">
        <v>318</v>
      </c>
      <c r="F4" t="s">
        <v>326</v>
      </c>
      <c r="G4">
        <f>IF(A4="","",A4)</f>
        <v>1022</v>
      </c>
      <c r="H4" t="str">
        <f>_xlfn.CONCAT(D4,SUBSTITUTE(B4,"""","`"""),E4)</f>
        <v>`     Cable / Kapamilya</v>
      </c>
      <c r="J4" t="str">
        <f>_xlfn.CONCAT(I4,H4)</f>
        <v>`     Cable / Kapamilya</v>
      </c>
    </row>
    <row r="5" spans="1:10" x14ac:dyDescent="0.25">
      <c r="A5" s="45">
        <v>1024</v>
      </c>
      <c r="B5" s="46" t="s">
        <v>488</v>
      </c>
      <c r="C5" t="s">
        <v>16</v>
      </c>
      <c r="D5" t="s">
        <v>318</v>
      </c>
      <c r="F5" t="s">
        <v>326</v>
      </c>
      <c r="G5">
        <f>IF(A5="","",A5)</f>
        <v>1024</v>
      </c>
      <c r="H5" t="str">
        <f>_xlfn.CONCAT(D5,SUBSTITUTE(B5,"""","`"""),E5)</f>
        <v>`     Facebook</v>
      </c>
      <c r="J5" t="str">
        <f>_xlfn.CONCAT(I5,H5)</f>
        <v>`     Facebook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9F136A-EF2A-41D2-B9F7-5D99E2C5BDDE}">
  <dimension ref="A1:J34"/>
  <sheetViews>
    <sheetView workbookViewId="0">
      <selection activeCell="I34" sqref="G1:I34"/>
    </sheetView>
  </sheetViews>
  <sheetFormatPr defaultRowHeight="15" x14ac:dyDescent="0.25"/>
  <cols>
    <col min="1" max="1" width="10.5703125" customWidth="1"/>
    <col min="2" max="2" width="62" bestFit="1" customWidth="1"/>
  </cols>
  <sheetData>
    <row r="1" spans="1:10" x14ac:dyDescent="0.25">
      <c r="A1" s="60" t="s">
        <v>533</v>
      </c>
      <c r="B1" s="60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x14ac:dyDescent="0.25">
      <c r="A2" s="56">
        <v>1001</v>
      </c>
      <c r="B2" s="55" t="s">
        <v>542</v>
      </c>
      <c r="F2" t="s">
        <v>327</v>
      </c>
      <c r="G2">
        <f t="shared" ref="G2:G34" si="0">IF(A2="","",A2)</f>
        <v>1001</v>
      </c>
      <c r="H2" t="str">
        <f t="shared" ref="H2:H34" si="1">_xlfn.CONCAT(D2,SUBSTITUTE(B2,"""","`"""),E2)</f>
        <v>Paying bill thru gcash</v>
      </c>
      <c r="I2" t="s">
        <v>518</v>
      </c>
      <c r="J2" t="str">
        <f t="shared" ref="J2:J34" si="2">_xlfn.CONCAT(I2,H2)</f>
        <v>&lt;G1B&gt;Paying bill thru gcash</v>
      </c>
    </row>
    <row r="3" spans="1:10" x14ac:dyDescent="0.25">
      <c r="A3" s="56">
        <v>1002</v>
      </c>
      <c r="B3" s="55" t="s">
        <v>543</v>
      </c>
      <c r="F3" t="s">
        <v>327</v>
      </c>
      <c r="G3">
        <f t="shared" si="0"/>
        <v>1002</v>
      </c>
      <c r="H3" t="str">
        <f t="shared" si="1"/>
        <v>promotion</v>
      </c>
      <c r="J3" t="str">
        <f t="shared" si="2"/>
        <v>promotion</v>
      </c>
    </row>
    <row r="4" spans="1:10" x14ac:dyDescent="0.25">
      <c r="A4" s="56">
        <v>1003</v>
      </c>
      <c r="B4" s="55" t="s">
        <v>544</v>
      </c>
      <c r="F4" t="s">
        <v>327</v>
      </c>
      <c r="G4">
        <f t="shared" si="0"/>
        <v>1003</v>
      </c>
      <c r="H4" t="str">
        <f t="shared" si="1"/>
        <v>Gcash reliable for everyone</v>
      </c>
      <c r="J4" t="str">
        <f t="shared" si="2"/>
        <v>Gcash reliable for everyone</v>
      </c>
    </row>
    <row r="5" spans="1:10" x14ac:dyDescent="0.25">
      <c r="A5" s="56">
        <v>1004</v>
      </c>
      <c r="B5" s="55" t="s">
        <v>545</v>
      </c>
      <c r="F5" t="s">
        <v>327</v>
      </c>
      <c r="G5">
        <f t="shared" si="0"/>
        <v>1004</v>
      </c>
      <c r="H5" t="str">
        <f t="shared" si="1"/>
        <v>Ewallet to meme Vice</v>
      </c>
      <c r="J5" t="str">
        <f t="shared" si="2"/>
        <v>Ewallet to meme Vice</v>
      </c>
    </row>
    <row r="6" spans="1:10" x14ac:dyDescent="0.25">
      <c r="A6" s="56">
        <v>1005</v>
      </c>
      <c r="B6" s="55" t="s">
        <v>546</v>
      </c>
      <c r="F6" t="s">
        <v>327</v>
      </c>
      <c r="G6">
        <f t="shared" si="0"/>
        <v>1005</v>
      </c>
      <c r="H6" t="str">
        <f t="shared" si="1"/>
        <v>With their QR Code you can join to their games on it's showtime</v>
      </c>
      <c r="J6" t="str">
        <f t="shared" si="2"/>
        <v>With their QR Code you can join to their games on it's showtime</v>
      </c>
    </row>
    <row r="7" spans="1:10" x14ac:dyDescent="0.25">
      <c r="A7" s="56">
        <v>1006</v>
      </c>
      <c r="B7" s="55" t="s">
        <v>547</v>
      </c>
      <c r="F7" t="s">
        <v>327</v>
      </c>
      <c r="G7">
        <f t="shared" si="0"/>
        <v>1006</v>
      </c>
      <c r="H7" t="str">
        <f t="shared" si="1"/>
        <v>By donating to the needy, you send to Gcash</v>
      </c>
      <c r="J7" t="str">
        <f t="shared" si="2"/>
        <v>By donating to the needy, you send to Gcash</v>
      </c>
    </row>
    <row r="8" spans="1:10" x14ac:dyDescent="0.25">
      <c r="A8" s="56">
        <v>1007</v>
      </c>
      <c r="B8" s="55" t="s">
        <v>548</v>
      </c>
      <c r="F8" t="s">
        <v>327</v>
      </c>
      <c r="G8">
        <f t="shared" si="0"/>
        <v>1007</v>
      </c>
      <c r="H8" t="str">
        <f t="shared" si="1"/>
        <v>Host endorse Gcash</v>
      </c>
      <c r="J8" t="str">
        <f t="shared" si="2"/>
        <v>Host endorse Gcash</v>
      </c>
    </row>
    <row r="9" spans="1:10" x14ac:dyDescent="0.25">
      <c r="A9" s="56">
        <v>1008</v>
      </c>
      <c r="B9" s="55" t="s">
        <v>549</v>
      </c>
      <c r="F9" t="s">
        <v>327</v>
      </c>
      <c r="G9">
        <f t="shared" si="0"/>
        <v>1008</v>
      </c>
      <c r="H9" t="str">
        <f t="shared" si="1"/>
        <v>Scam</v>
      </c>
      <c r="J9" t="str">
        <f t="shared" si="2"/>
        <v>Scam</v>
      </c>
    </row>
    <row r="10" spans="1:10" x14ac:dyDescent="0.25">
      <c r="A10" s="56">
        <v>1009</v>
      </c>
      <c r="B10" s="55" t="s">
        <v>550</v>
      </c>
      <c r="F10" t="s">
        <v>327</v>
      </c>
      <c r="G10">
        <f t="shared" si="0"/>
        <v>1009</v>
      </c>
      <c r="H10" t="str">
        <f t="shared" si="1"/>
        <v>Promote Gcash how to use</v>
      </c>
      <c r="J10" t="str">
        <f t="shared" si="2"/>
        <v>Promote Gcash how to use</v>
      </c>
    </row>
    <row r="11" spans="1:10" x14ac:dyDescent="0.25">
      <c r="A11" s="56">
        <v>1010</v>
      </c>
      <c r="B11" s="55" t="s">
        <v>551</v>
      </c>
      <c r="F11" t="s">
        <v>327</v>
      </c>
      <c r="G11">
        <f t="shared" si="0"/>
        <v>1010</v>
      </c>
      <c r="H11" t="str">
        <f t="shared" si="1"/>
        <v>Use Gcash to send money</v>
      </c>
      <c r="J11" t="str">
        <f t="shared" si="2"/>
        <v>Use Gcash to send money</v>
      </c>
    </row>
    <row r="12" spans="1:10" x14ac:dyDescent="0.25">
      <c r="A12" s="57">
        <v>1011</v>
      </c>
      <c r="B12" s="59" t="s">
        <v>552</v>
      </c>
      <c r="F12" t="s">
        <v>327</v>
      </c>
      <c r="G12">
        <f t="shared" si="0"/>
        <v>1011</v>
      </c>
      <c r="H12" t="str">
        <f t="shared" si="1"/>
        <v>About Gcash</v>
      </c>
      <c r="J12" t="str">
        <f t="shared" si="2"/>
        <v>About Gcash</v>
      </c>
    </row>
    <row r="13" spans="1:10" x14ac:dyDescent="0.25">
      <c r="A13" s="57">
        <v>1012</v>
      </c>
      <c r="B13" s="59" t="s">
        <v>553</v>
      </c>
      <c r="F13" t="s">
        <v>327</v>
      </c>
      <c r="G13">
        <f t="shared" si="0"/>
        <v>1012</v>
      </c>
      <c r="H13" t="str">
        <f t="shared" si="1"/>
        <v>Many are helped</v>
      </c>
      <c r="J13" t="str">
        <f t="shared" si="2"/>
        <v>Many are helped</v>
      </c>
    </row>
    <row r="14" spans="1:10" x14ac:dyDescent="0.25">
      <c r="A14" s="57">
        <v>1013</v>
      </c>
      <c r="B14" s="59" t="s">
        <v>554</v>
      </c>
      <c r="F14" t="s">
        <v>327</v>
      </c>
      <c r="G14">
        <f t="shared" si="0"/>
        <v>1013</v>
      </c>
      <c r="H14" t="str">
        <f t="shared" si="1"/>
        <v>Ginvest</v>
      </c>
      <c r="J14" t="str">
        <f t="shared" si="2"/>
        <v>Ginvest</v>
      </c>
    </row>
    <row r="15" spans="1:10" x14ac:dyDescent="0.25">
      <c r="A15" s="57">
        <v>1014</v>
      </c>
      <c r="B15" s="59" t="s">
        <v>440</v>
      </c>
      <c r="F15" t="s">
        <v>327</v>
      </c>
      <c r="G15">
        <f t="shared" si="0"/>
        <v>1014</v>
      </c>
      <c r="H15" t="str">
        <f t="shared" si="1"/>
        <v>Gcash Credit</v>
      </c>
      <c r="J15" t="str">
        <f t="shared" si="2"/>
        <v>Gcash Credit</v>
      </c>
    </row>
    <row r="16" spans="1:10" x14ac:dyDescent="0.25">
      <c r="A16" s="57">
        <v>1015</v>
      </c>
      <c r="B16" s="59" t="s">
        <v>437</v>
      </c>
      <c r="F16" t="s">
        <v>327</v>
      </c>
      <c r="G16">
        <f t="shared" si="0"/>
        <v>1015</v>
      </c>
      <c r="H16" t="str">
        <f t="shared" si="1"/>
        <v>Gloan</v>
      </c>
      <c r="J16" t="str">
        <f t="shared" si="2"/>
        <v>Gloan</v>
      </c>
    </row>
    <row r="17" spans="1:10" x14ac:dyDescent="0.25">
      <c r="A17" s="57">
        <v>1016</v>
      </c>
      <c r="B17" s="59" t="s">
        <v>555</v>
      </c>
      <c r="F17" t="s">
        <v>327</v>
      </c>
      <c r="G17">
        <f t="shared" si="0"/>
        <v>1016</v>
      </c>
      <c r="H17" t="str">
        <f t="shared" si="1"/>
        <v>Someone won in Gcash</v>
      </c>
      <c r="J17" t="str">
        <f t="shared" si="2"/>
        <v>Someone won in Gcash</v>
      </c>
    </row>
    <row r="18" spans="1:10" x14ac:dyDescent="0.25">
      <c r="A18" s="57">
        <v>1017</v>
      </c>
      <c r="B18" s="59" t="s">
        <v>556</v>
      </c>
      <c r="F18" t="s">
        <v>327</v>
      </c>
      <c r="G18">
        <f t="shared" si="0"/>
        <v>1017</v>
      </c>
      <c r="H18" t="str">
        <f t="shared" si="1"/>
        <v>Money</v>
      </c>
      <c r="J18" t="str">
        <f t="shared" si="2"/>
        <v>Money</v>
      </c>
    </row>
    <row r="19" spans="1:10" x14ac:dyDescent="0.25">
      <c r="A19" s="57">
        <v>1018</v>
      </c>
      <c r="B19" s="59" t="s">
        <v>557</v>
      </c>
      <c r="F19" t="s">
        <v>327</v>
      </c>
      <c r="G19">
        <f t="shared" si="0"/>
        <v>1018</v>
      </c>
      <c r="H19" t="str">
        <f t="shared" si="1"/>
        <v>Ivana introduce Gcash in their anniversary</v>
      </c>
      <c r="J19" t="str">
        <f t="shared" si="2"/>
        <v>Ivana introduce Gcash in their anniversary</v>
      </c>
    </row>
    <row r="20" spans="1:10" x14ac:dyDescent="0.25">
      <c r="A20" s="57">
        <v>1019</v>
      </c>
      <c r="B20" s="59" t="s">
        <v>558</v>
      </c>
      <c r="F20" t="s">
        <v>327</v>
      </c>
      <c r="G20">
        <f t="shared" si="0"/>
        <v>1019</v>
      </c>
      <c r="H20" t="str">
        <f t="shared" si="1"/>
        <v>Gives money in Gcash or prizes</v>
      </c>
      <c r="J20" t="str">
        <f t="shared" si="2"/>
        <v>Gives money in Gcash or prizes</v>
      </c>
    </row>
    <row r="21" spans="1:10" x14ac:dyDescent="0.25">
      <c r="A21" s="57">
        <v>1020</v>
      </c>
      <c r="B21" s="59" t="s">
        <v>559</v>
      </c>
      <c r="F21" t="s">
        <v>327</v>
      </c>
      <c r="G21">
        <f t="shared" si="0"/>
        <v>1020</v>
      </c>
      <c r="H21" t="str">
        <f t="shared" si="1"/>
        <v>Loan given</v>
      </c>
      <c r="J21" t="str">
        <f t="shared" si="2"/>
        <v>Loan given</v>
      </c>
    </row>
    <row r="22" spans="1:10" x14ac:dyDescent="0.25">
      <c r="A22" s="57">
        <v>1021</v>
      </c>
      <c r="B22" s="59" t="s">
        <v>560</v>
      </c>
      <c r="F22" t="s">
        <v>327</v>
      </c>
      <c r="G22">
        <f t="shared" si="0"/>
        <v>1021</v>
      </c>
      <c r="H22" t="str">
        <f t="shared" si="1"/>
        <v>Give investment for seniors</v>
      </c>
      <c r="J22" t="str">
        <f t="shared" si="2"/>
        <v>Give investment for seniors</v>
      </c>
    </row>
    <row r="23" spans="1:10" x14ac:dyDescent="0.25">
      <c r="A23" s="57">
        <v>1022</v>
      </c>
      <c r="B23" s="59" t="s">
        <v>561</v>
      </c>
      <c r="F23" t="s">
        <v>327</v>
      </c>
      <c r="G23">
        <f t="shared" si="0"/>
        <v>1022</v>
      </c>
      <c r="H23" t="str">
        <f t="shared" si="1"/>
        <v>It's like scatter on Gcash in IT’S SHOW TIME</v>
      </c>
      <c r="J23" t="str">
        <f t="shared" si="2"/>
        <v>It's like scatter on Gcash in IT’S SHOW TIME</v>
      </c>
    </row>
    <row r="24" spans="1:10" x14ac:dyDescent="0.25">
      <c r="A24" s="57">
        <v>1023</v>
      </c>
      <c r="B24" s="59" t="s">
        <v>562</v>
      </c>
      <c r="F24" t="s">
        <v>327</v>
      </c>
      <c r="G24">
        <f t="shared" si="0"/>
        <v>1023</v>
      </c>
      <c r="H24" t="str">
        <f t="shared" si="1"/>
        <v>Promotion in Gcash Gloan</v>
      </c>
      <c r="J24" t="str">
        <f t="shared" si="2"/>
        <v>Promotion in Gcash Gloan</v>
      </c>
    </row>
    <row r="25" spans="1:10" x14ac:dyDescent="0.25">
      <c r="A25" s="57">
        <v>1024</v>
      </c>
      <c r="B25" s="59" t="s">
        <v>563</v>
      </c>
      <c r="F25" t="s">
        <v>327</v>
      </c>
      <c r="G25">
        <f t="shared" si="0"/>
        <v>1024</v>
      </c>
      <c r="H25" t="str">
        <f t="shared" si="1"/>
        <v>You can loan in Gcash</v>
      </c>
      <c r="J25" t="str">
        <f t="shared" si="2"/>
        <v>You can loan in Gcash</v>
      </c>
    </row>
    <row r="26" spans="1:10" x14ac:dyDescent="0.25">
      <c r="A26" s="57">
        <v>1025</v>
      </c>
      <c r="B26" s="59" t="s">
        <v>564</v>
      </c>
      <c r="F26" t="s">
        <v>327</v>
      </c>
      <c r="G26">
        <f t="shared" si="0"/>
        <v>1025</v>
      </c>
      <c r="H26" t="str">
        <f t="shared" si="1"/>
        <v>IT's SHOW TIME sponsor ads</v>
      </c>
      <c r="J26" t="str">
        <f t="shared" si="2"/>
        <v>IT's SHOW TIME sponsor ads</v>
      </c>
    </row>
    <row r="27" spans="1:10" x14ac:dyDescent="0.25">
      <c r="A27" s="57">
        <v>1026</v>
      </c>
      <c r="B27" s="59" t="s">
        <v>565</v>
      </c>
      <c r="F27" t="s">
        <v>327</v>
      </c>
      <c r="G27">
        <f t="shared" si="0"/>
        <v>1026</v>
      </c>
      <c r="H27" t="str">
        <f t="shared" si="1"/>
        <v>Vice Ganda said it's quick to pay bills with Gcash</v>
      </c>
      <c r="J27" t="str">
        <f t="shared" si="2"/>
        <v>Vice Ganda said it's quick to pay bills with Gcash</v>
      </c>
    </row>
    <row r="28" spans="1:10" x14ac:dyDescent="0.25">
      <c r="A28" s="57">
        <v>1027</v>
      </c>
      <c r="B28" s="59" t="s">
        <v>566</v>
      </c>
      <c r="F28" t="s">
        <v>327</v>
      </c>
      <c r="G28">
        <f t="shared" si="0"/>
        <v>1027</v>
      </c>
      <c r="H28" t="str">
        <f t="shared" si="1"/>
        <v>`"SUYOD SUGOD`" of Vice Ganda</v>
      </c>
      <c r="J28" t="str">
        <f t="shared" si="2"/>
        <v>`"SUYOD SUGOD`" of Vice Ganda</v>
      </c>
    </row>
    <row r="29" spans="1:10" x14ac:dyDescent="0.25">
      <c r="A29" s="57">
        <v>1028</v>
      </c>
      <c r="B29" s="59" t="s">
        <v>567</v>
      </c>
      <c r="F29" t="s">
        <v>327</v>
      </c>
      <c r="G29">
        <f t="shared" si="0"/>
        <v>1028</v>
      </c>
      <c r="H29" t="str">
        <f t="shared" si="1"/>
        <v>Vice Ganda gave money to my friend in gcash</v>
      </c>
      <c r="J29" t="str">
        <f t="shared" si="2"/>
        <v>Vice Ganda gave money to my friend in gcash</v>
      </c>
    </row>
    <row r="30" spans="1:10" x14ac:dyDescent="0.25">
      <c r="A30" s="57">
        <v>1029</v>
      </c>
      <c r="B30" s="59" t="s">
        <v>568</v>
      </c>
      <c r="F30" t="s">
        <v>327</v>
      </c>
      <c r="G30">
        <f t="shared" si="0"/>
        <v>1029</v>
      </c>
      <c r="H30" t="str">
        <f t="shared" si="1"/>
        <v>Can loan incase of emergency</v>
      </c>
      <c r="J30" t="str">
        <f t="shared" si="2"/>
        <v>Can loan incase of emergency</v>
      </c>
    </row>
    <row r="31" spans="1:10" x14ac:dyDescent="0.25">
      <c r="A31" s="57">
        <v>1030</v>
      </c>
      <c r="B31" s="59" t="s">
        <v>569</v>
      </c>
      <c r="F31" t="s">
        <v>327</v>
      </c>
      <c r="G31">
        <f t="shared" si="0"/>
        <v>1030</v>
      </c>
      <c r="H31" t="str">
        <f t="shared" si="1"/>
        <v>People dashing to the Barangay giving prices</v>
      </c>
      <c r="I31" t="s">
        <v>519</v>
      </c>
      <c r="J31" t="str">
        <f t="shared" si="2"/>
        <v>&lt;G1E&gt;People dashing to the Barangay giving prices</v>
      </c>
    </row>
    <row r="32" spans="1:10" x14ac:dyDescent="0.25">
      <c r="A32" s="57">
        <v>9997</v>
      </c>
      <c r="B32" s="58" t="s">
        <v>570</v>
      </c>
      <c r="G32">
        <f t="shared" si="0"/>
        <v>9997</v>
      </c>
      <c r="H32" t="str">
        <f t="shared" si="1"/>
        <v>No comments</v>
      </c>
      <c r="J32" t="str">
        <f t="shared" si="2"/>
        <v>No comments</v>
      </c>
    </row>
    <row r="33" spans="1:10" x14ac:dyDescent="0.25">
      <c r="A33" s="56">
        <v>9998</v>
      </c>
      <c r="B33" s="54" t="s">
        <v>571</v>
      </c>
      <c r="G33">
        <f t="shared" si="0"/>
        <v>9998</v>
      </c>
      <c r="H33" t="str">
        <f t="shared" si="1"/>
        <v>Can't recall</v>
      </c>
      <c r="J33" t="str">
        <f t="shared" si="2"/>
        <v>Can't recall</v>
      </c>
    </row>
    <row r="34" spans="1:10" x14ac:dyDescent="0.25">
      <c r="A34" s="56">
        <v>9999</v>
      </c>
      <c r="B34" s="54" t="s">
        <v>303</v>
      </c>
      <c r="G34">
        <f t="shared" si="0"/>
        <v>9999</v>
      </c>
      <c r="H34" t="str">
        <f t="shared" si="1"/>
        <v>None</v>
      </c>
      <c r="J34" t="str">
        <f t="shared" si="2"/>
        <v>None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D6D31-37ED-4849-B51F-D42A08F9651B}">
  <dimension ref="A1:J32"/>
  <sheetViews>
    <sheetView workbookViewId="0">
      <selection activeCell="G1" sqref="G1:H1048576"/>
    </sheetView>
  </sheetViews>
  <sheetFormatPr defaultRowHeight="15" x14ac:dyDescent="0.25"/>
  <sheetData>
    <row r="1" spans="1:10" ht="28.5" x14ac:dyDescent="0.25">
      <c r="A1" s="29" t="s">
        <v>533</v>
      </c>
      <c r="B1" s="48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J1" t="s">
        <v>537</v>
      </c>
    </row>
    <row r="2" spans="1:10" x14ac:dyDescent="0.25">
      <c r="A2" s="51">
        <v>1</v>
      </c>
      <c r="B2" s="50" t="s">
        <v>598</v>
      </c>
      <c r="G2">
        <f t="shared" ref="G2:G32" si="0">IF(A2="","",A2)</f>
        <v>1</v>
      </c>
      <c r="H2" t="str">
        <f t="shared" ref="H2:H32" si="1">_xlfn.CONCAT(D2,SUBSTITUTE(B2,"""","`"""),E2)</f>
        <v xml:space="preserve">GCash </v>
      </c>
      <c r="J2" t="str">
        <f t="shared" ref="J2:J32" si="2">_xlfn.CONCAT(I2,H2)</f>
        <v xml:space="preserve">GCash </v>
      </c>
    </row>
    <row r="3" spans="1:10" ht="28.5" x14ac:dyDescent="0.25">
      <c r="A3" s="51">
        <v>2</v>
      </c>
      <c r="B3" s="50" t="s">
        <v>597</v>
      </c>
      <c r="G3">
        <f t="shared" si="0"/>
        <v>2</v>
      </c>
      <c r="H3" t="str">
        <f t="shared" si="1"/>
        <v>PayMaya/Maya</v>
      </c>
      <c r="J3" t="str">
        <f t="shared" si="2"/>
        <v>PayMaya/Maya</v>
      </c>
    </row>
    <row r="4" spans="1:10" x14ac:dyDescent="0.25">
      <c r="A4" s="51">
        <v>3</v>
      </c>
      <c r="B4" s="50" t="s">
        <v>596</v>
      </c>
      <c r="G4">
        <f t="shared" si="0"/>
        <v>3</v>
      </c>
      <c r="H4" t="str">
        <f t="shared" si="1"/>
        <v>BPI</v>
      </c>
      <c r="J4" t="str">
        <f t="shared" si="2"/>
        <v>BPI</v>
      </c>
    </row>
    <row r="5" spans="1:10" x14ac:dyDescent="0.25">
      <c r="A5" s="51">
        <v>4</v>
      </c>
      <c r="B5" s="50" t="s">
        <v>595</v>
      </c>
      <c r="G5">
        <f t="shared" si="0"/>
        <v>4</v>
      </c>
      <c r="H5" t="str">
        <f t="shared" si="1"/>
        <v>BDO</v>
      </c>
      <c r="J5" t="str">
        <f t="shared" si="2"/>
        <v>BDO</v>
      </c>
    </row>
    <row r="6" spans="1:10" ht="28.5" x14ac:dyDescent="0.25">
      <c r="A6" s="51">
        <v>5</v>
      </c>
      <c r="B6" s="50" t="s">
        <v>594</v>
      </c>
      <c r="G6">
        <f t="shared" si="0"/>
        <v>5</v>
      </c>
      <c r="H6" t="str">
        <f t="shared" si="1"/>
        <v>ShopeePay</v>
      </c>
      <c r="J6" t="str">
        <f t="shared" si="2"/>
        <v>ShopeePay</v>
      </c>
    </row>
    <row r="7" spans="1:10" x14ac:dyDescent="0.25">
      <c r="A7" s="32">
        <v>1030</v>
      </c>
      <c r="B7" s="53" t="s">
        <v>593</v>
      </c>
      <c r="G7">
        <f t="shared" si="0"/>
        <v>1030</v>
      </c>
      <c r="H7" t="str">
        <f t="shared" si="1"/>
        <v>Globe</v>
      </c>
      <c r="J7" t="str">
        <f t="shared" si="2"/>
        <v>Globe</v>
      </c>
    </row>
    <row r="8" spans="1:10" x14ac:dyDescent="0.25">
      <c r="A8" s="32">
        <v>1020</v>
      </c>
      <c r="B8" s="53" t="s">
        <v>592</v>
      </c>
      <c r="G8">
        <f t="shared" si="0"/>
        <v>1020</v>
      </c>
      <c r="H8" t="str">
        <f t="shared" si="1"/>
        <v>Paypal</v>
      </c>
      <c r="J8" t="str">
        <f t="shared" si="2"/>
        <v>Paypal</v>
      </c>
    </row>
    <row r="9" spans="1:10" x14ac:dyDescent="0.25">
      <c r="A9" s="32">
        <v>1025</v>
      </c>
      <c r="B9" s="53" t="s">
        <v>591</v>
      </c>
      <c r="G9">
        <f t="shared" si="0"/>
        <v>1025</v>
      </c>
      <c r="H9" t="str">
        <f t="shared" si="1"/>
        <v>PNB</v>
      </c>
      <c r="J9" t="str">
        <f t="shared" si="2"/>
        <v>PNB</v>
      </c>
    </row>
    <row r="10" spans="1:10" ht="30" x14ac:dyDescent="0.25">
      <c r="A10" s="32" t="s">
        <v>599</v>
      </c>
      <c r="B10" s="72" t="s">
        <v>331</v>
      </c>
      <c r="C10" t="s">
        <v>6</v>
      </c>
      <c r="D10" t="s">
        <v>323</v>
      </c>
      <c r="E10" t="s">
        <v>322</v>
      </c>
      <c r="F10" t="s">
        <v>327</v>
      </c>
      <c r="G10" t="str">
        <f t="shared" si="0"/>
        <v>1021+1022+1023+1024+1026+1027+1028+1031+1032+1033+1034+1035+1036+1037+1038+1039+1040+1041+1042</v>
      </c>
      <c r="H10" t="str">
        <f t="shared" si="1"/>
        <v>`VAGUE (NET)&lt;Q&gt;</v>
      </c>
      <c r="J10" t="str">
        <f t="shared" si="2"/>
        <v>`VAGUE (NET)&lt;Q&gt;</v>
      </c>
    </row>
    <row r="11" spans="1:10" x14ac:dyDescent="0.25">
      <c r="A11" s="32">
        <v>1021</v>
      </c>
      <c r="B11" s="53" t="s">
        <v>590</v>
      </c>
      <c r="C11" t="s">
        <v>16</v>
      </c>
      <c r="D11" t="s">
        <v>318</v>
      </c>
      <c r="F11" t="s">
        <v>326</v>
      </c>
      <c r="G11">
        <f t="shared" si="0"/>
        <v>1021</v>
      </c>
      <c r="H11" t="str">
        <f t="shared" si="1"/>
        <v>`     Internet</v>
      </c>
      <c r="J11" t="str">
        <f t="shared" si="2"/>
        <v>`     Internet</v>
      </c>
    </row>
    <row r="12" spans="1:10" ht="28.5" x14ac:dyDescent="0.25">
      <c r="A12" s="32">
        <v>1022</v>
      </c>
      <c r="B12" s="53" t="s">
        <v>589</v>
      </c>
      <c r="C12" t="s">
        <v>16</v>
      </c>
      <c r="D12" t="s">
        <v>318</v>
      </c>
      <c r="F12" t="s">
        <v>326</v>
      </c>
      <c r="G12">
        <f t="shared" si="0"/>
        <v>1022</v>
      </c>
      <c r="H12" t="str">
        <f t="shared" si="1"/>
        <v>`     Online Work</v>
      </c>
      <c r="J12" t="str">
        <f t="shared" si="2"/>
        <v>`     Online Work</v>
      </c>
    </row>
    <row r="13" spans="1:10" ht="28.5" x14ac:dyDescent="0.25">
      <c r="A13" s="32">
        <v>1023</v>
      </c>
      <c r="B13" s="53" t="s">
        <v>588</v>
      </c>
      <c r="C13" t="s">
        <v>16</v>
      </c>
      <c r="D13" t="s">
        <v>318</v>
      </c>
      <c r="F13" t="s">
        <v>326</v>
      </c>
      <c r="G13">
        <f t="shared" si="0"/>
        <v>1023</v>
      </c>
      <c r="H13" t="str">
        <f t="shared" si="1"/>
        <v>`     Brand ng cp</v>
      </c>
      <c r="J13" t="str">
        <f t="shared" si="2"/>
        <v>`     Brand ng cp</v>
      </c>
    </row>
    <row r="14" spans="1:10" x14ac:dyDescent="0.25">
      <c r="A14" s="32">
        <v>1024</v>
      </c>
      <c r="B14" s="53" t="s">
        <v>587</v>
      </c>
      <c r="C14" t="s">
        <v>16</v>
      </c>
      <c r="D14" t="s">
        <v>318</v>
      </c>
      <c r="F14" t="s">
        <v>326</v>
      </c>
      <c r="G14">
        <f t="shared" si="0"/>
        <v>1024</v>
      </c>
      <c r="H14" t="str">
        <f t="shared" si="1"/>
        <v>`     Bank</v>
      </c>
      <c r="J14" t="str">
        <f t="shared" si="2"/>
        <v>`     Bank</v>
      </c>
    </row>
    <row r="15" spans="1:10" x14ac:dyDescent="0.25">
      <c r="A15" s="32">
        <v>1026</v>
      </c>
      <c r="B15" s="73" t="s">
        <v>464</v>
      </c>
      <c r="C15" t="s">
        <v>16</v>
      </c>
      <c r="D15" t="s">
        <v>318</v>
      </c>
      <c r="F15" t="s">
        <v>326</v>
      </c>
      <c r="G15">
        <f t="shared" si="0"/>
        <v>1026</v>
      </c>
      <c r="H15" t="str">
        <f t="shared" si="1"/>
        <v>`     TV</v>
      </c>
      <c r="J15" t="str">
        <f t="shared" si="2"/>
        <v>`     TV</v>
      </c>
    </row>
    <row r="16" spans="1:10" x14ac:dyDescent="0.25">
      <c r="A16" s="32">
        <v>1027</v>
      </c>
      <c r="B16" s="73" t="s">
        <v>458</v>
      </c>
      <c r="C16" t="s">
        <v>16</v>
      </c>
      <c r="D16" t="s">
        <v>318</v>
      </c>
      <c r="F16" t="s">
        <v>326</v>
      </c>
      <c r="G16">
        <f t="shared" si="0"/>
        <v>1027</v>
      </c>
      <c r="H16" t="str">
        <f t="shared" si="1"/>
        <v>`     Shopee</v>
      </c>
      <c r="J16" t="str">
        <f t="shared" si="2"/>
        <v>`     Shopee</v>
      </c>
    </row>
    <row r="17" spans="1:10" x14ac:dyDescent="0.25">
      <c r="A17" s="32">
        <v>1028</v>
      </c>
      <c r="B17" s="53" t="s">
        <v>586</v>
      </c>
      <c r="C17" t="s">
        <v>16</v>
      </c>
      <c r="D17" t="s">
        <v>318</v>
      </c>
      <c r="F17" t="s">
        <v>326</v>
      </c>
      <c r="G17">
        <f t="shared" si="0"/>
        <v>1028</v>
      </c>
      <c r="H17" t="str">
        <f t="shared" si="1"/>
        <v>`     lazada</v>
      </c>
      <c r="J17" t="str">
        <f t="shared" si="2"/>
        <v>`     lazada</v>
      </c>
    </row>
    <row r="18" spans="1:10" x14ac:dyDescent="0.25">
      <c r="A18" s="32">
        <v>1031</v>
      </c>
      <c r="B18" s="73" t="s">
        <v>585</v>
      </c>
      <c r="C18" t="s">
        <v>16</v>
      </c>
      <c r="D18" t="s">
        <v>318</v>
      </c>
      <c r="F18" t="s">
        <v>326</v>
      </c>
      <c r="G18">
        <f t="shared" si="0"/>
        <v>1031</v>
      </c>
      <c r="H18" t="str">
        <f t="shared" si="1"/>
        <v>`     Gadget</v>
      </c>
      <c r="J18" t="str">
        <f t="shared" si="2"/>
        <v>`     Gadget</v>
      </c>
    </row>
    <row r="19" spans="1:10" x14ac:dyDescent="0.25">
      <c r="A19" s="32">
        <v>1032</v>
      </c>
      <c r="B19" s="73" t="s">
        <v>584</v>
      </c>
      <c r="C19" t="s">
        <v>16</v>
      </c>
      <c r="D19" t="s">
        <v>318</v>
      </c>
      <c r="F19" t="s">
        <v>326</v>
      </c>
      <c r="G19">
        <f t="shared" si="0"/>
        <v>1032</v>
      </c>
      <c r="H19" t="str">
        <f t="shared" si="1"/>
        <v>`     E-Wallet</v>
      </c>
      <c r="J19" t="str">
        <f t="shared" si="2"/>
        <v>`     E-Wallet</v>
      </c>
    </row>
    <row r="20" spans="1:10" ht="28.5" x14ac:dyDescent="0.25">
      <c r="A20" s="32">
        <v>1033</v>
      </c>
      <c r="B20" s="73" t="s">
        <v>583</v>
      </c>
      <c r="C20" t="s">
        <v>16</v>
      </c>
      <c r="D20" t="s">
        <v>318</v>
      </c>
      <c r="F20" t="s">
        <v>326</v>
      </c>
      <c r="G20">
        <f t="shared" si="0"/>
        <v>1033</v>
      </c>
      <c r="H20" t="str">
        <f t="shared" si="1"/>
        <v>`     YouTube</v>
      </c>
      <c r="J20" t="str">
        <f t="shared" si="2"/>
        <v>`     YouTube</v>
      </c>
    </row>
    <row r="21" spans="1:10" ht="28.5" x14ac:dyDescent="0.25">
      <c r="A21" s="32">
        <v>1034</v>
      </c>
      <c r="B21" s="73" t="s">
        <v>582</v>
      </c>
      <c r="C21" t="s">
        <v>16</v>
      </c>
      <c r="D21" t="s">
        <v>318</v>
      </c>
      <c r="F21" t="s">
        <v>326</v>
      </c>
      <c r="G21">
        <f t="shared" si="0"/>
        <v>1034</v>
      </c>
      <c r="H21" t="str">
        <f t="shared" si="1"/>
        <v>`     Celphone brand</v>
      </c>
      <c r="J21" t="str">
        <f t="shared" si="2"/>
        <v>`     Celphone brand</v>
      </c>
    </row>
    <row r="22" spans="1:10" ht="28.5" x14ac:dyDescent="0.25">
      <c r="A22" s="32">
        <v>1035</v>
      </c>
      <c r="B22" s="73" t="s">
        <v>581</v>
      </c>
      <c r="C22" t="s">
        <v>16</v>
      </c>
      <c r="D22" t="s">
        <v>318</v>
      </c>
      <c r="F22" t="s">
        <v>326</v>
      </c>
      <c r="G22">
        <f t="shared" si="0"/>
        <v>1035</v>
      </c>
      <c r="H22" t="str">
        <f t="shared" si="1"/>
        <v>`     Shampoo</v>
      </c>
      <c r="J22" t="str">
        <f t="shared" si="2"/>
        <v>`     Shampoo</v>
      </c>
    </row>
    <row r="23" spans="1:10" x14ac:dyDescent="0.25">
      <c r="A23" s="32">
        <v>1036</v>
      </c>
      <c r="B23" s="73" t="s">
        <v>580</v>
      </c>
      <c r="C23" t="s">
        <v>16</v>
      </c>
      <c r="D23" t="s">
        <v>318</v>
      </c>
      <c r="F23" t="s">
        <v>326</v>
      </c>
      <c r="G23">
        <f t="shared" si="0"/>
        <v>1036</v>
      </c>
      <c r="H23" t="str">
        <f t="shared" si="1"/>
        <v>`     Bags</v>
      </c>
      <c r="J23" t="str">
        <f t="shared" si="2"/>
        <v>`     Bags</v>
      </c>
    </row>
    <row r="24" spans="1:10" x14ac:dyDescent="0.25">
      <c r="A24" s="16">
        <v>1037</v>
      </c>
      <c r="B24" s="71" t="s">
        <v>579</v>
      </c>
      <c r="C24" t="s">
        <v>16</v>
      </c>
      <c r="D24" t="s">
        <v>318</v>
      </c>
      <c r="F24" t="s">
        <v>326</v>
      </c>
      <c r="G24">
        <f t="shared" si="0"/>
        <v>1037</v>
      </c>
      <c r="H24" t="str">
        <f t="shared" si="1"/>
        <v>`     Nescafe</v>
      </c>
      <c r="J24" t="str">
        <f t="shared" si="2"/>
        <v>`     Nescafe</v>
      </c>
    </row>
    <row r="25" spans="1:10" x14ac:dyDescent="0.25">
      <c r="A25" s="16">
        <v>1038</v>
      </c>
      <c r="B25" s="71" t="s">
        <v>578</v>
      </c>
      <c r="C25" t="s">
        <v>16</v>
      </c>
      <c r="D25" t="s">
        <v>318</v>
      </c>
      <c r="F25" t="s">
        <v>326</v>
      </c>
      <c r="G25">
        <f t="shared" si="0"/>
        <v>1038</v>
      </c>
      <c r="H25" t="str">
        <f t="shared" si="1"/>
        <v>`     Colgate</v>
      </c>
      <c r="J25" t="str">
        <f t="shared" si="2"/>
        <v>`     Colgate</v>
      </c>
    </row>
    <row r="26" spans="1:10" x14ac:dyDescent="0.25">
      <c r="A26" s="16">
        <v>1039</v>
      </c>
      <c r="B26" s="71" t="s">
        <v>577</v>
      </c>
      <c r="C26" t="s">
        <v>16</v>
      </c>
      <c r="D26" t="s">
        <v>318</v>
      </c>
      <c r="F26" t="s">
        <v>326</v>
      </c>
      <c r="G26">
        <f t="shared" si="0"/>
        <v>1039</v>
      </c>
      <c r="H26" t="str">
        <f t="shared" si="1"/>
        <v>`     Luneta</v>
      </c>
      <c r="J26" t="str">
        <f t="shared" si="2"/>
        <v>`     Luneta</v>
      </c>
    </row>
    <row r="27" spans="1:10" x14ac:dyDescent="0.25">
      <c r="A27" s="26">
        <v>1040</v>
      </c>
      <c r="B27" s="82" t="s">
        <v>576</v>
      </c>
      <c r="C27" t="s">
        <v>16</v>
      </c>
      <c r="D27" t="s">
        <v>318</v>
      </c>
      <c r="F27" t="s">
        <v>326</v>
      </c>
      <c r="G27">
        <f t="shared" si="0"/>
        <v>1040</v>
      </c>
      <c r="H27" t="str">
        <f t="shared" si="1"/>
        <v>`     Load</v>
      </c>
      <c r="J27" t="str">
        <f t="shared" si="2"/>
        <v>`     Load</v>
      </c>
    </row>
    <row r="28" spans="1:10" x14ac:dyDescent="0.25">
      <c r="A28" s="83">
        <v>1041</v>
      </c>
      <c r="B28" s="84" t="s">
        <v>575</v>
      </c>
      <c r="C28" t="s">
        <v>16</v>
      </c>
      <c r="D28" t="s">
        <v>318</v>
      </c>
      <c r="F28" t="s">
        <v>326</v>
      </c>
      <c r="G28">
        <f t="shared" si="0"/>
        <v>1041</v>
      </c>
      <c r="H28" t="str">
        <f t="shared" si="1"/>
        <v>`     Tiktok</v>
      </c>
      <c r="J28" t="str">
        <f t="shared" si="2"/>
        <v>`     Tiktok</v>
      </c>
    </row>
    <row r="29" spans="1:10" ht="28.5" x14ac:dyDescent="0.25">
      <c r="A29" s="83">
        <v>1042</v>
      </c>
      <c r="B29" s="84" t="s">
        <v>488</v>
      </c>
      <c r="C29" t="s">
        <v>16</v>
      </c>
      <c r="D29" t="s">
        <v>318</v>
      </c>
      <c r="F29" t="s">
        <v>326</v>
      </c>
      <c r="G29">
        <f t="shared" si="0"/>
        <v>1042</v>
      </c>
      <c r="H29" t="str">
        <f t="shared" si="1"/>
        <v>`     Facebook</v>
      </c>
      <c r="J29" t="str">
        <f t="shared" si="2"/>
        <v>`     Facebook</v>
      </c>
    </row>
    <row r="30" spans="1:10" ht="28.5" x14ac:dyDescent="0.25">
      <c r="A30" s="32">
        <v>9998</v>
      </c>
      <c r="B30" s="53" t="s">
        <v>574</v>
      </c>
      <c r="G30">
        <f t="shared" si="0"/>
        <v>9998</v>
      </c>
      <c r="H30" t="str">
        <f t="shared" si="1"/>
        <v>Don’t Know</v>
      </c>
      <c r="J30" t="str">
        <f t="shared" si="2"/>
        <v>Don’t Know</v>
      </c>
    </row>
    <row r="31" spans="1:10" x14ac:dyDescent="0.25">
      <c r="A31" s="32">
        <v>9999</v>
      </c>
      <c r="B31" s="53" t="s">
        <v>303</v>
      </c>
      <c r="G31">
        <f t="shared" si="0"/>
        <v>9999</v>
      </c>
      <c r="H31" t="str">
        <f t="shared" si="1"/>
        <v>None</v>
      </c>
      <c r="J31" t="str">
        <f t="shared" si="2"/>
        <v>None</v>
      </c>
    </row>
    <row r="32" spans="1:10" ht="28.5" x14ac:dyDescent="0.25">
      <c r="A32" s="49" t="s">
        <v>573</v>
      </c>
      <c r="B32" s="52" t="s">
        <v>572</v>
      </c>
      <c r="G32" t="str">
        <f t="shared" si="0"/>
        <v>99+9997</v>
      </c>
      <c r="H32" t="str">
        <f t="shared" si="1"/>
        <v>I can’t recall</v>
      </c>
      <c r="J32" t="str">
        <f t="shared" si="2"/>
        <v>I can’t recall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15495-35FB-41E2-91D1-E022554DF92C}">
  <dimension ref="A1:J16"/>
  <sheetViews>
    <sheetView workbookViewId="0">
      <selection activeCell="I1" sqref="I1:I1048576"/>
    </sheetView>
  </sheetViews>
  <sheetFormatPr defaultRowHeight="15" x14ac:dyDescent="0.25"/>
  <sheetData>
    <row r="1" spans="1:10" x14ac:dyDescent="0.25">
      <c r="A1" s="60" t="s">
        <v>533</v>
      </c>
      <c r="B1" s="60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x14ac:dyDescent="0.25">
      <c r="A2" s="57">
        <v>1001</v>
      </c>
      <c r="B2" s="59" t="s">
        <v>600</v>
      </c>
      <c r="F2" t="s">
        <v>327</v>
      </c>
      <c r="G2">
        <f t="shared" ref="G2:G16" si="0">IF(A2="","",A2)</f>
        <v>1001</v>
      </c>
      <c r="H2" t="str">
        <f t="shared" ref="H2:H16" si="1">_xlfn.CONCAT(D2,SUBSTITUTE(B2,"""","`"""),E2)</f>
        <v>About Gloan</v>
      </c>
      <c r="I2" t="s">
        <v>518</v>
      </c>
      <c r="J2" t="str">
        <f t="shared" ref="J2:J16" si="2">_xlfn.CONCAT(I2,H2)</f>
        <v>&lt;G1B&gt;About Gloan</v>
      </c>
    </row>
    <row r="3" spans="1:10" x14ac:dyDescent="0.25">
      <c r="A3" s="57">
        <v>1002</v>
      </c>
      <c r="B3" s="59" t="s">
        <v>601</v>
      </c>
      <c r="F3" t="s">
        <v>327</v>
      </c>
      <c r="G3">
        <f t="shared" si="0"/>
        <v>1002</v>
      </c>
      <c r="H3" t="str">
        <f t="shared" si="1"/>
        <v>I haven't seen it yet because I don't watch showtime</v>
      </c>
      <c r="J3" t="str">
        <f t="shared" si="2"/>
        <v>I haven't seen it yet because I don't watch showtime</v>
      </c>
    </row>
    <row r="4" spans="1:10" x14ac:dyDescent="0.25">
      <c r="A4" s="57">
        <v>1003</v>
      </c>
      <c r="B4" s="59" t="s">
        <v>554</v>
      </c>
      <c r="F4" t="s">
        <v>327</v>
      </c>
      <c r="G4">
        <f t="shared" si="0"/>
        <v>1003</v>
      </c>
      <c r="H4" t="str">
        <f t="shared" si="1"/>
        <v>Ginvest</v>
      </c>
      <c r="J4" t="str">
        <f t="shared" si="2"/>
        <v>Ginvest</v>
      </c>
    </row>
    <row r="5" spans="1:10" x14ac:dyDescent="0.25">
      <c r="A5" s="57">
        <v>1004</v>
      </c>
      <c r="B5" s="59" t="s">
        <v>602</v>
      </c>
      <c r="F5" t="s">
        <v>327</v>
      </c>
      <c r="G5">
        <f t="shared" si="0"/>
        <v>1004</v>
      </c>
      <c r="H5" t="str">
        <f t="shared" si="1"/>
        <v>Gcash</v>
      </c>
      <c r="J5" t="str">
        <f t="shared" si="2"/>
        <v>Gcash</v>
      </c>
    </row>
    <row r="6" spans="1:10" x14ac:dyDescent="0.25">
      <c r="A6" s="57">
        <v>1005</v>
      </c>
      <c r="B6" s="59" t="s">
        <v>603</v>
      </c>
      <c r="F6" t="s">
        <v>327</v>
      </c>
      <c r="G6">
        <f t="shared" si="0"/>
        <v>1005</v>
      </c>
      <c r="H6" t="str">
        <f t="shared" si="1"/>
        <v>Gcash Loan</v>
      </c>
      <c r="J6" t="str">
        <f t="shared" si="2"/>
        <v>Gcash Loan</v>
      </c>
    </row>
    <row r="7" spans="1:10" x14ac:dyDescent="0.25">
      <c r="A7" s="57">
        <v>1006</v>
      </c>
      <c r="B7" s="59" t="s">
        <v>431</v>
      </c>
      <c r="F7" t="s">
        <v>327</v>
      </c>
      <c r="G7">
        <f t="shared" si="0"/>
        <v>1006</v>
      </c>
      <c r="H7" t="str">
        <f t="shared" si="1"/>
        <v>Gcredit</v>
      </c>
      <c r="J7" t="str">
        <f t="shared" si="2"/>
        <v>Gcredit</v>
      </c>
    </row>
    <row r="8" spans="1:10" x14ac:dyDescent="0.25">
      <c r="A8" s="57">
        <v>1007</v>
      </c>
      <c r="B8" s="59" t="s">
        <v>604</v>
      </c>
      <c r="F8" t="s">
        <v>327</v>
      </c>
      <c r="G8">
        <f t="shared" si="0"/>
        <v>1007</v>
      </c>
      <c r="H8" t="str">
        <f t="shared" si="1"/>
        <v>Gloan you can barrow from Gcash</v>
      </c>
      <c r="J8" t="str">
        <f t="shared" si="2"/>
        <v>Gloan you can barrow from Gcash</v>
      </c>
    </row>
    <row r="9" spans="1:10" x14ac:dyDescent="0.25">
      <c r="A9" s="57">
        <v>1008</v>
      </c>
      <c r="B9" s="59" t="s">
        <v>605</v>
      </c>
      <c r="F9" t="s">
        <v>327</v>
      </c>
      <c r="G9">
        <f t="shared" si="0"/>
        <v>1008</v>
      </c>
      <c r="H9" t="str">
        <f t="shared" si="1"/>
        <v>Loan</v>
      </c>
      <c r="J9" t="str">
        <f t="shared" si="2"/>
        <v>Loan</v>
      </c>
    </row>
    <row r="10" spans="1:10" x14ac:dyDescent="0.25">
      <c r="A10" s="57">
        <v>1009</v>
      </c>
      <c r="B10" s="59" t="s">
        <v>606</v>
      </c>
      <c r="F10" t="s">
        <v>327</v>
      </c>
      <c r="G10">
        <f t="shared" si="0"/>
        <v>1009</v>
      </c>
      <c r="H10" t="str">
        <f t="shared" si="1"/>
        <v>Quick loan transaction</v>
      </c>
      <c r="J10" t="str">
        <f t="shared" si="2"/>
        <v>Quick loan transaction</v>
      </c>
    </row>
    <row r="11" spans="1:10" x14ac:dyDescent="0.25">
      <c r="A11" s="57">
        <v>1010</v>
      </c>
      <c r="B11" s="59" t="s">
        <v>607</v>
      </c>
      <c r="F11" t="s">
        <v>327</v>
      </c>
      <c r="G11">
        <f t="shared" si="0"/>
        <v>1010</v>
      </c>
      <c r="H11" t="str">
        <f t="shared" si="1"/>
        <v>Providing assistance to selected beneficiaries</v>
      </c>
      <c r="J11" t="str">
        <f t="shared" si="2"/>
        <v>Providing assistance to selected beneficiaries</v>
      </c>
    </row>
    <row r="12" spans="1:10" x14ac:dyDescent="0.25">
      <c r="A12" s="57">
        <v>1011</v>
      </c>
      <c r="B12" s="59" t="s">
        <v>608</v>
      </c>
      <c r="F12" t="s">
        <v>327</v>
      </c>
      <c r="G12">
        <f t="shared" si="0"/>
        <v>1011</v>
      </c>
      <c r="H12" t="str">
        <f t="shared" si="1"/>
        <v>About Gloan of Gcash</v>
      </c>
      <c r="I12" t="s">
        <v>519</v>
      </c>
      <c r="J12" t="str">
        <f t="shared" si="2"/>
        <v>&lt;G1E&gt;About Gloan of Gcash</v>
      </c>
    </row>
    <row r="13" spans="1:10" x14ac:dyDescent="0.25">
      <c r="A13" s="57">
        <v>9996</v>
      </c>
      <c r="B13" s="59" t="s">
        <v>609</v>
      </c>
      <c r="G13">
        <f t="shared" si="0"/>
        <v>9996</v>
      </c>
      <c r="H13" t="str">
        <f t="shared" si="1"/>
        <v>No Comments</v>
      </c>
      <c r="J13" t="str">
        <f t="shared" si="2"/>
        <v>No Comments</v>
      </c>
    </row>
    <row r="14" spans="1:10" x14ac:dyDescent="0.25">
      <c r="A14" s="57">
        <v>9997</v>
      </c>
      <c r="B14" s="59" t="s">
        <v>336</v>
      </c>
      <c r="G14">
        <f t="shared" si="0"/>
        <v>9997</v>
      </c>
      <c r="H14" t="str">
        <f t="shared" si="1"/>
        <v>Don't know</v>
      </c>
      <c r="J14" t="str">
        <f t="shared" si="2"/>
        <v>Don't know</v>
      </c>
    </row>
    <row r="15" spans="1:10" x14ac:dyDescent="0.25">
      <c r="A15" s="57">
        <v>9998</v>
      </c>
      <c r="B15" s="59" t="s">
        <v>571</v>
      </c>
      <c r="G15">
        <f t="shared" si="0"/>
        <v>9998</v>
      </c>
      <c r="H15" t="str">
        <f t="shared" si="1"/>
        <v>Can't recall</v>
      </c>
      <c r="J15" t="str">
        <f t="shared" si="2"/>
        <v>Can't recall</v>
      </c>
    </row>
    <row r="16" spans="1:10" x14ac:dyDescent="0.25">
      <c r="A16" s="57">
        <v>9999</v>
      </c>
      <c r="B16" s="59" t="s">
        <v>303</v>
      </c>
      <c r="G16">
        <f t="shared" si="0"/>
        <v>9999</v>
      </c>
      <c r="H16" t="str">
        <f t="shared" si="1"/>
        <v>None</v>
      </c>
      <c r="J16" t="str">
        <f t="shared" si="2"/>
        <v>None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AAC6E-887A-46F0-9E12-FFAD9473DDC7}">
  <dimension ref="A1:J39"/>
  <sheetViews>
    <sheetView workbookViewId="0">
      <selection activeCell="G1" sqref="G1:H1048576"/>
    </sheetView>
  </sheetViews>
  <sheetFormatPr defaultRowHeight="15" x14ac:dyDescent="0.25"/>
  <sheetData>
    <row r="1" spans="1:10" x14ac:dyDescent="0.25">
      <c r="A1" s="75" t="s">
        <v>533</v>
      </c>
      <c r="B1" s="75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J1" t="s">
        <v>537</v>
      </c>
    </row>
    <row r="2" spans="1:10" x14ac:dyDescent="0.25">
      <c r="A2" s="76">
        <v>1</v>
      </c>
      <c r="B2" s="63" t="s">
        <v>610</v>
      </c>
      <c r="G2">
        <f t="shared" ref="G2:G39" si="0">IF(A2="","",A2)</f>
        <v>1</v>
      </c>
      <c r="H2" t="str">
        <f t="shared" ref="H2:H39" si="1">_xlfn.CONCAT(D2,SUBSTITUTE(B2,"""","`"""),E2)</f>
        <v>Ads while browsing internet/Website ads (excluding social media) (Please specify site)</v>
      </c>
      <c r="J2" t="str">
        <f t="shared" ref="J2:J39" si="2">_xlfn.CONCAT(I2,H2)</f>
        <v>Ads while browsing internet/Website ads (excluding social media) (Please specify site)</v>
      </c>
    </row>
    <row r="3" spans="1:10" x14ac:dyDescent="0.25">
      <c r="A3" s="76">
        <v>2</v>
      </c>
      <c r="B3" s="63" t="s">
        <v>611</v>
      </c>
      <c r="G3">
        <f t="shared" si="0"/>
        <v>2</v>
      </c>
      <c r="H3" t="str">
        <f t="shared" si="1"/>
        <v xml:space="preserve">Company Website (Official Website)       </v>
      </c>
      <c r="J3" t="str">
        <f t="shared" si="2"/>
        <v xml:space="preserve">Company Website (Official Website)       </v>
      </c>
    </row>
    <row r="4" spans="1:10" x14ac:dyDescent="0.25">
      <c r="A4" s="76">
        <v>4</v>
      </c>
      <c r="B4" s="63" t="s">
        <v>612</v>
      </c>
      <c r="G4">
        <f t="shared" si="0"/>
        <v>4</v>
      </c>
      <c r="H4" t="str">
        <f t="shared" si="1"/>
        <v xml:space="preserve">Events    </v>
      </c>
      <c r="J4" t="str">
        <f t="shared" si="2"/>
        <v xml:space="preserve">Events    </v>
      </c>
    </row>
    <row r="5" spans="1:10" x14ac:dyDescent="0.25">
      <c r="A5" s="76">
        <v>5</v>
      </c>
      <c r="B5" s="63" t="s">
        <v>613</v>
      </c>
      <c r="G5">
        <f t="shared" si="0"/>
        <v>5</v>
      </c>
      <c r="H5" t="str">
        <f t="shared" si="1"/>
        <v xml:space="preserve">Family/relatives       </v>
      </c>
      <c r="J5" t="str">
        <f t="shared" si="2"/>
        <v xml:space="preserve">Family/relatives       </v>
      </c>
    </row>
    <row r="6" spans="1:10" x14ac:dyDescent="0.25">
      <c r="A6" s="76" t="s">
        <v>614</v>
      </c>
      <c r="B6" s="63" t="s">
        <v>615</v>
      </c>
      <c r="G6" t="str">
        <f t="shared" si="0"/>
        <v>6+1033</v>
      </c>
      <c r="H6" t="str">
        <f t="shared" si="1"/>
        <v xml:space="preserve">Friends/colleagues       </v>
      </c>
      <c r="J6" t="str">
        <f t="shared" si="2"/>
        <v xml:space="preserve">Friends/colleagues       </v>
      </c>
    </row>
    <row r="7" spans="1:10" x14ac:dyDescent="0.25">
      <c r="A7" s="76">
        <v>7</v>
      </c>
      <c r="B7" s="63" t="s">
        <v>616</v>
      </c>
      <c r="G7">
        <f t="shared" si="0"/>
        <v>7</v>
      </c>
      <c r="H7" t="str">
        <f t="shared" si="1"/>
        <v xml:space="preserve">Online articles (blogs, reviews, news) </v>
      </c>
      <c r="J7" t="str">
        <f t="shared" si="2"/>
        <v xml:space="preserve">Online articles (blogs, reviews, news) </v>
      </c>
    </row>
    <row r="8" spans="1:10" x14ac:dyDescent="0.25">
      <c r="A8" s="76" t="s">
        <v>617</v>
      </c>
      <c r="B8" s="63" t="s">
        <v>618</v>
      </c>
      <c r="G8" t="str">
        <f t="shared" si="0"/>
        <v>13+1025</v>
      </c>
      <c r="H8" t="str">
        <f t="shared" si="1"/>
        <v>Facebook Fanpage</v>
      </c>
      <c r="J8" t="str">
        <f t="shared" si="2"/>
        <v>Facebook Fanpage</v>
      </c>
    </row>
    <row r="9" spans="1:10" x14ac:dyDescent="0.25">
      <c r="A9" s="76">
        <v>14</v>
      </c>
      <c r="B9" s="63" t="s">
        <v>619</v>
      </c>
      <c r="G9">
        <f t="shared" si="0"/>
        <v>14</v>
      </c>
      <c r="H9" t="str">
        <f t="shared" si="1"/>
        <v xml:space="preserve">Twitter (including ads)  </v>
      </c>
      <c r="J9" t="str">
        <f t="shared" si="2"/>
        <v xml:space="preserve">Twitter (including ads)  </v>
      </c>
    </row>
    <row r="10" spans="1:10" x14ac:dyDescent="0.25">
      <c r="A10" s="76">
        <v>15</v>
      </c>
      <c r="B10" s="63" t="s">
        <v>620</v>
      </c>
      <c r="G10">
        <f t="shared" si="0"/>
        <v>15</v>
      </c>
      <c r="H10" t="str">
        <f t="shared" si="1"/>
        <v xml:space="preserve">Instagram (including ads)  </v>
      </c>
      <c r="J10" t="str">
        <f t="shared" si="2"/>
        <v xml:space="preserve">Instagram (including ads)  </v>
      </c>
    </row>
    <row r="11" spans="1:10" x14ac:dyDescent="0.25">
      <c r="A11" s="76" t="s">
        <v>621</v>
      </c>
      <c r="B11" s="63" t="s">
        <v>622</v>
      </c>
      <c r="G11" t="str">
        <f t="shared" si="0"/>
        <v>16+1031</v>
      </c>
      <c r="H11" t="str">
        <f t="shared" si="1"/>
        <v xml:space="preserve">YouTube (including ads) </v>
      </c>
      <c r="J11" t="str">
        <f t="shared" si="2"/>
        <v xml:space="preserve">YouTube (including ads) </v>
      </c>
    </row>
    <row r="12" spans="1:10" x14ac:dyDescent="0.25">
      <c r="A12" s="77" t="s">
        <v>623</v>
      </c>
      <c r="B12" s="63" t="s">
        <v>624</v>
      </c>
      <c r="G12" t="str">
        <f t="shared" si="0"/>
        <v>17+1029</v>
      </c>
      <c r="H12" t="str">
        <f t="shared" si="1"/>
        <v>TikTok (including ads)</v>
      </c>
      <c r="J12" t="str">
        <f t="shared" si="2"/>
        <v>TikTok (including ads)</v>
      </c>
    </row>
    <row r="13" spans="1:10" x14ac:dyDescent="0.25">
      <c r="A13" s="76">
        <v>18</v>
      </c>
      <c r="B13" s="63" t="s">
        <v>625</v>
      </c>
      <c r="G13">
        <f t="shared" si="0"/>
        <v>18</v>
      </c>
      <c r="H13" t="str">
        <f t="shared" si="1"/>
        <v>OOH</v>
      </c>
      <c r="J13" t="str">
        <f t="shared" si="2"/>
        <v>OOH</v>
      </c>
    </row>
    <row r="14" spans="1:10" x14ac:dyDescent="0.25">
      <c r="A14" s="76">
        <v>19</v>
      </c>
      <c r="B14" s="63" t="s">
        <v>626</v>
      </c>
      <c r="G14">
        <f t="shared" si="0"/>
        <v>19</v>
      </c>
      <c r="H14" t="str">
        <f t="shared" si="1"/>
        <v>Influencers</v>
      </c>
      <c r="J14" t="str">
        <f t="shared" si="2"/>
        <v>Influencers</v>
      </c>
    </row>
    <row r="15" spans="1:10" x14ac:dyDescent="0.25">
      <c r="A15" s="76" t="s">
        <v>627</v>
      </c>
      <c r="B15" s="63" t="s">
        <v>464</v>
      </c>
      <c r="G15" t="str">
        <f t="shared" si="0"/>
        <v>20+1034</v>
      </c>
      <c r="H15" t="str">
        <f t="shared" si="1"/>
        <v>TV</v>
      </c>
      <c r="J15" t="str">
        <f t="shared" si="2"/>
        <v>TV</v>
      </c>
    </row>
    <row r="16" spans="1:10" x14ac:dyDescent="0.25">
      <c r="A16" s="76">
        <v>9</v>
      </c>
      <c r="B16" s="66" t="s">
        <v>628</v>
      </c>
      <c r="G16">
        <f t="shared" si="0"/>
        <v>9</v>
      </c>
      <c r="H16" t="str">
        <f t="shared" si="1"/>
        <v>Radio/Radio Commercials</v>
      </c>
      <c r="J16" t="str">
        <f t="shared" si="2"/>
        <v>Radio/Radio Commercials</v>
      </c>
    </row>
    <row r="17" spans="1:10" x14ac:dyDescent="0.25">
      <c r="A17" s="74">
        <v>1020</v>
      </c>
      <c r="B17" s="80" t="s">
        <v>629</v>
      </c>
      <c r="G17">
        <f t="shared" si="0"/>
        <v>1020</v>
      </c>
      <c r="H17" t="str">
        <f t="shared" si="1"/>
        <v>TV COMMERCIAL</v>
      </c>
      <c r="J17" t="str">
        <f t="shared" si="2"/>
        <v>TV COMMERCIAL</v>
      </c>
    </row>
    <row r="18" spans="1:10" x14ac:dyDescent="0.25">
      <c r="A18" s="74">
        <v>1021</v>
      </c>
      <c r="B18" s="80" t="s">
        <v>630</v>
      </c>
      <c r="G18">
        <f t="shared" si="0"/>
        <v>1021</v>
      </c>
      <c r="H18" t="str">
        <f t="shared" si="1"/>
        <v>Mall ads</v>
      </c>
      <c r="J18" t="str">
        <f t="shared" si="2"/>
        <v>Mall ads</v>
      </c>
    </row>
    <row r="19" spans="1:10" x14ac:dyDescent="0.25">
      <c r="A19" s="74">
        <v>1022</v>
      </c>
      <c r="B19" s="62" t="s">
        <v>631</v>
      </c>
      <c r="G19">
        <f t="shared" si="0"/>
        <v>1022</v>
      </c>
      <c r="H19" t="str">
        <f t="shared" si="1"/>
        <v>Sari - sari store</v>
      </c>
      <c r="J19" t="str">
        <f t="shared" si="2"/>
        <v>Sari - sari store</v>
      </c>
    </row>
    <row r="20" spans="1:10" x14ac:dyDescent="0.25">
      <c r="A20" s="74">
        <v>1023</v>
      </c>
      <c r="B20" s="62" t="s">
        <v>632</v>
      </c>
      <c r="G20">
        <f t="shared" si="0"/>
        <v>1023</v>
      </c>
      <c r="H20" t="str">
        <f t="shared" si="1"/>
        <v>Radio</v>
      </c>
      <c r="J20" t="str">
        <f t="shared" si="2"/>
        <v>Radio</v>
      </c>
    </row>
    <row r="21" spans="1:10" x14ac:dyDescent="0.25">
      <c r="A21" s="74">
        <v>1024</v>
      </c>
      <c r="B21" s="80" t="s">
        <v>633</v>
      </c>
      <c r="G21">
        <f t="shared" si="0"/>
        <v>1024</v>
      </c>
      <c r="H21" t="str">
        <f t="shared" si="1"/>
        <v>Cellphone</v>
      </c>
      <c r="J21" t="str">
        <f t="shared" si="2"/>
        <v>Cellphone</v>
      </c>
    </row>
    <row r="22" spans="1:10" x14ac:dyDescent="0.25">
      <c r="A22" s="74" t="s">
        <v>648</v>
      </c>
      <c r="B22" s="65" t="s">
        <v>634</v>
      </c>
      <c r="C22" t="s">
        <v>6</v>
      </c>
      <c r="D22" t="s">
        <v>323</v>
      </c>
      <c r="E22" t="s">
        <v>322</v>
      </c>
      <c r="F22" t="s">
        <v>327</v>
      </c>
      <c r="G22" t="str">
        <f t="shared" si="0"/>
        <v>8+10+11+12+1008+1010+1011</v>
      </c>
      <c r="H22" t="str">
        <f t="shared" si="1"/>
        <v>`E-WALLET APP (NET)&lt;Q&gt;</v>
      </c>
      <c r="J22" t="str">
        <f t="shared" si="2"/>
        <v>`E-WALLET APP (NET)&lt;Q&gt;</v>
      </c>
    </row>
    <row r="23" spans="1:10" x14ac:dyDescent="0.25">
      <c r="A23" s="76">
        <v>8</v>
      </c>
      <c r="B23" s="63" t="s">
        <v>635</v>
      </c>
      <c r="C23" t="s">
        <v>16</v>
      </c>
      <c r="D23" t="s">
        <v>318</v>
      </c>
      <c r="F23" t="s">
        <v>326</v>
      </c>
      <c r="G23">
        <f t="shared" si="0"/>
        <v>8</v>
      </c>
      <c r="H23" t="str">
        <f t="shared" si="1"/>
        <v xml:space="preserve">`     Online videos (including ads) </v>
      </c>
      <c r="J23" t="str">
        <f t="shared" si="2"/>
        <v xml:space="preserve">`     Online videos (including ads) </v>
      </c>
    </row>
    <row r="24" spans="1:10" x14ac:dyDescent="0.25">
      <c r="A24" s="76">
        <v>10</v>
      </c>
      <c r="B24" s="63" t="s">
        <v>636</v>
      </c>
      <c r="C24" t="s">
        <v>16</v>
      </c>
      <c r="D24" t="s">
        <v>318</v>
      </c>
      <c r="F24" t="s">
        <v>326</v>
      </c>
      <c r="G24">
        <f t="shared" si="0"/>
        <v>10</v>
      </c>
      <c r="H24" t="str">
        <f t="shared" si="1"/>
        <v xml:space="preserve">`     Social media (including ads) (NET) (HIDE) </v>
      </c>
      <c r="J24" t="str">
        <f t="shared" si="2"/>
        <v xml:space="preserve">`     Social media (including ads) (NET) (HIDE) </v>
      </c>
    </row>
    <row r="25" spans="1:10" x14ac:dyDescent="0.25">
      <c r="A25" s="76">
        <v>11</v>
      </c>
      <c r="B25" s="63" t="s">
        <v>637</v>
      </c>
      <c r="C25" t="s">
        <v>16</v>
      </c>
      <c r="D25" t="s">
        <v>318</v>
      </c>
      <c r="F25" t="s">
        <v>326</v>
      </c>
      <c r="G25">
        <f t="shared" si="0"/>
        <v>11</v>
      </c>
      <c r="H25" t="str">
        <f t="shared" si="1"/>
        <v>`     Facebook (including ads) (HIDE)</v>
      </c>
      <c r="J25" t="str">
        <f t="shared" si="2"/>
        <v>`     Facebook (including ads) (HIDE)</v>
      </c>
    </row>
    <row r="26" spans="1:10" x14ac:dyDescent="0.25">
      <c r="A26" s="78">
        <v>12</v>
      </c>
      <c r="B26" s="69" t="s">
        <v>638</v>
      </c>
      <c r="C26" t="s">
        <v>16</v>
      </c>
      <c r="D26" t="s">
        <v>318</v>
      </c>
      <c r="F26" t="s">
        <v>326</v>
      </c>
      <c r="G26">
        <f t="shared" si="0"/>
        <v>12</v>
      </c>
      <c r="H26" t="str">
        <f t="shared" si="1"/>
        <v>`     Facebook Post</v>
      </c>
      <c r="J26" t="str">
        <f t="shared" si="2"/>
        <v>`     Facebook Post</v>
      </c>
    </row>
    <row r="27" spans="1:10" x14ac:dyDescent="0.25">
      <c r="A27" s="79">
        <v>1008</v>
      </c>
      <c r="B27" s="64" t="s">
        <v>639</v>
      </c>
      <c r="C27" t="s">
        <v>16</v>
      </c>
      <c r="D27" t="s">
        <v>318</v>
      </c>
      <c r="F27" t="s">
        <v>326</v>
      </c>
      <c r="G27">
        <f t="shared" si="0"/>
        <v>1008</v>
      </c>
      <c r="H27" t="str">
        <f t="shared" si="1"/>
        <v xml:space="preserve">`     GCash Application </v>
      </c>
      <c r="J27" t="str">
        <f t="shared" si="2"/>
        <v xml:space="preserve">`     GCash Application </v>
      </c>
    </row>
    <row r="28" spans="1:10" x14ac:dyDescent="0.25">
      <c r="A28" s="74" t="s">
        <v>640</v>
      </c>
      <c r="B28" s="80" t="s">
        <v>641</v>
      </c>
      <c r="C28" t="s">
        <v>16</v>
      </c>
      <c r="D28" t="s">
        <v>318</v>
      </c>
      <c r="F28" t="s">
        <v>326</v>
      </c>
      <c r="G28" t="str">
        <f t="shared" si="0"/>
        <v>1010+1011</v>
      </c>
      <c r="H28" t="str">
        <f t="shared" si="1"/>
        <v>`     GCash</v>
      </c>
      <c r="J28" t="str">
        <f t="shared" si="2"/>
        <v>`     GCash</v>
      </c>
    </row>
    <row r="29" spans="1:10" x14ac:dyDescent="0.25">
      <c r="A29" s="74" t="s">
        <v>649</v>
      </c>
      <c r="B29" s="65" t="s">
        <v>642</v>
      </c>
      <c r="C29" t="s">
        <v>6</v>
      </c>
      <c r="D29" t="s">
        <v>323</v>
      </c>
      <c r="E29" t="s">
        <v>322</v>
      </c>
      <c r="F29" t="s">
        <v>327</v>
      </c>
      <c r="G29" t="str">
        <f t="shared" si="0"/>
        <v>1026+1027+1028+1030</v>
      </c>
      <c r="H29" t="str">
        <f t="shared" si="1"/>
        <v>`OTHER ONLINE (NET)&lt;Q&gt;</v>
      </c>
      <c r="J29" t="str">
        <f t="shared" si="2"/>
        <v>`OTHER ONLINE (NET)&lt;Q&gt;</v>
      </c>
    </row>
    <row r="30" spans="1:10" x14ac:dyDescent="0.25">
      <c r="A30" s="74">
        <v>1026</v>
      </c>
      <c r="B30" s="80" t="s">
        <v>643</v>
      </c>
      <c r="C30" t="s">
        <v>16</v>
      </c>
      <c r="D30" t="s">
        <v>318</v>
      </c>
      <c r="F30" t="s">
        <v>326</v>
      </c>
      <c r="G30">
        <f t="shared" si="0"/>
        <v>1026</v>
      </c>
      <c r="H30" t="str">
        <f t="shared" si="1"/>
        <v>`     Puretuber</v>
      </c>
      <c r="J30" t="str">
        <f t="shared" si="2"/>
        <v>`     Puretuber</v>
      </c>
    </row>
    <row r="31" spans="1:10" x14ac:dyDescent="0.25">
      <c r="A31" s="74">
        <v>1027</v>
      </c>
      <c r="B31" s="80" t="s">
        <v>644</v>
      </c>
      <c r="C31" t="s">
        <v>16</v>
      </c>
      <c r="D31" t="s">
        <v>318</v>
      </c>
      <c r="F31" t="s">
        <v>326</v>
      </c>
      <c r="G31">
        <f t="shared" si="0"/>
        <v>1027</v>
      </c>
      <c r="H31" t="str">
        <f t="shared" si="1"/>
        <v>`     Google</v>
      </c>
      <c r="J31" t="str">
        <f t="shared" si="2"/>
        <v>`     Google</v>
      </c>
    </row>
    <row r="32" spans="1:10" x14ac:dyDescent="0.25">
      <c r="A32" s="74">
        <v>1028</v>
      </c>
      <c r="B32" s="80" t="s">
        <v>333</v>
      </c>
      <c r="C32" t="s">
        <v>16</v>
      </c>
      <c r="D32" t="s">
        <v>318</v>
      </c>
      <c r="F32" t="s">
        <v>326</v>
      </c>
      <c r="G32">
        <f t="shared" si="0"/>
        <v>1028</v>
      </c>
      <c r="H32" t="str">
        <f t="shared" si="1"/>
        <v>`     Poster</v>
      </c>
      <c r="J32" t="str">
        <f t="shared" si="2"/>
        <v>`     Poster</v>
      </c>
    </row>
    <row r="33" spans="1:10" x14ac:dyDescent="0.25">
      <c r="A33" s="74">
        <v>1030</v>
      </c>
      <c r="B33" s="80" t="s">
        <v>458</v>
      </c>
      <c r="C33" t="s">
        <v>16</v>
      </c>
      <c r="D33" t="s">
        <v>318</v>
      </c>
      <c r="F33" t="s">
        <v>326</v>
      </c>
      <c r="G33">
        <f t="shared" si="0"/>
        <v>1030</v>
      </c>
      <c r="H33" t="str">
        <f t="shared" si="1"/>
        <v>`     Shopee</v>
      </c>
      <c r="J33" t="str">
        <f t="shared" si="2"/>
        <v>`     Shopee</v>
      </c>
    </row>
    <row r="34" spans="1:10" x14ac:dyDescent="0.25">
      <c r="A34" s="70" t="s">
        <v>650</v>
      </c>
      <c r="B34" s="67" t="s">
        <v>331</v>
      </c>
      <c r="C34" t="s">
        <v>6</v>
      </c>
      <c r="D34" t="s">
        <v>323</v>
      </c>
      <c r="E34" t="s">
        <v>322</v>
      </c>
      <c r="F34" t="s">
        <v>327</v>
      </c>
      <c r="G34" t="str">
        <f t="shared" si="0"/>
        <v>1032+1035</v>
      </c>
      <c r="H34" t="str">
        <f t="shared" si="1"/>
        <v>`VAGUE (NET)&lt;Q&gt;</v>
      </c>
      <c r="J34" t="str">
        <f t="shared" si="2"/>
        <v>`VAGUE (NET)&lt;Q&gt;</v>
      </c>
    </row>
    <row r="35" spans="1:10" x14ac:dyDescent="0.25">
      <c r="A35" s="32">
        <v>1032</v>
      </c>
      <c r="B35" s="81" t="s">
        <v>645</v>
      </c>
      <c r="C35" t="s">
        <v>16</v>
      </c>
      <c r="D35" t="s">
        <v>318</v>
      </c>
      <c r="F35" t="s">
        <v>326</v>
      </c>
      <c r="G35">
        <f t="shared" si="0"/>
        <v>1032</v>
      </c>
      <c r="H35" t="str">
        <f t="shared" si="1"/>
        <v>`     Tablet</v>
      </c>
      <c r="J35" t="str">
        <f t="shared" si="2"/>
        <v>`     Tablet</v>
      </c>
    </row>
    <row r="36" spans="1:10" x14ac:dyDescent="0.25">
      <c r="A36" s="74">
        <v>1035</v>
      </c>
      <c r="B36" s="80" t="s">
        <v>646</v>
      </c>
      <c r="C36" t="s">
        <v>16</v>
      </c>
      <c r="D36" t="s">
        <v>318</v>
      </c>
      <c r="F36" t="s">
        <v>326</v>
      </c>
      <c r="G36">
        <f t="shared" si="0"/>
        <v>1035</v>
      </c>
      <c r="H36" t="str">
        <f t="shared" si="1"/>
        <v>`     Website</v>
      </c>
      <c r="J36" t="str">
        <f t="shared" si="2"/>
        <v>`     Website</v>
      </c>
    </row>
    <row r="37" spans="1:10" x14ac:dyDescent="0.25">
      <c r="A37" s="74">
        <v>9997</v>
      </c>
      <c r="B37" s="80" t="s">
        <v>647</v>
      </c>
      <c r="G37">
        <f t="shared" si="0"/>
        <v>9997</v>
      </c>
      <c r="H37" t="str">
        <f t="shared" si="1"/>
        <v>Cant recall</v>
      </c>
      <c r="J37" t="str">
        <f t="shared" si="2"/>
        <v>Cant recall</v>
      </c>
    </row>
    <row r="38" spans="1:10" x14ac:dyDescent="0.25">
      <c r="A38" s="32">
        <v>9998</v>
      </c>
      <c r="B38" s="81" t="s">
        <v>574</v>
      </c>
      <c r="G38">
        <f t="shared" si="0"/>
        <v>9998</v>
      </c>
      <c r="H38" t="str">
        <f t="shared" si="1"/>
        <v>Don’t Know</v>
      </c>
      <c r="J38" t="str">
        <f t="shared" si="2"/>
        <v>Don’t Know</v>
      </c>
    </row>
    <row r="39" spans="1:10" x14ac:dyDescent="0.25">
      <c r="A39" s="30">
        <v>9999</v>
      </c>
      <c r="B39" s="68" t="s">
        <v>303</v>
      </c>
      <c r="G39">
        <f t="shared" si="0"/>
        <v>9999</v>
      </c>
      <c r="H39" t="str">
        <f t="shared" si="1"/>
        <v>None</v>
      </c>
      <c r="J39" t="str">
        <f t="shared" si="2"/>
        <v>None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96800-AD75-4ED1-9729-815BC87411C6}">
  <dimension ref="A1:J159"/>
  <sheetViews>
    <sheetView workbookViewId="0">
      <selection activeCell="I159" sqref="G1:I159"/>
    </sheetView>
  </sheetViews>
  <sheetFormatPr defaultRowHeight="15" x14ac:dyDescent="0.25"/>
  <cols>
    <col min="2" max="2" width="72.140625" customWidth="1"/>
  </cols>
  <sheetData>
    <row r="1" spans="1:10" x14ac:dyDescent="0.25">
      <c r="A1" s="29" t="s">
        <v>533</v>
      </c>
      <c r="B1" s="29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ht="15.75" x14ac:dyDescent="0.25">
      <c r="A2" s="30" t="s">
        <v>798</v>
      </c>
      <c r="B2" s="12" t="s">
        <v>651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33" si="0">IF(A2="","",A2)</f>
        <v>2000+2001+2017+2002+2003+2061+2063+2081+2082+2084+2056+2104</v>
      </c>
      <c r="H2" t="str">
        <f t="shared" ref="H2:H33" si="1">_xlfn.CONCAT(D2,SUBSTITUTE(B2,"""","`"""),E2)</f>
        <v>`CAN USE GCASH ANYWHERE/ANYTIME (NET)&lt;Q&gt;</v>
      </c>
      <c r="I2" t="s">
        <v>518</v>
      </c>
      <c r="J2" t="str">
        <f t="shared" ref="J2:J33" si="2">_xlfn.CONCAT(I2,H2)</f>
        <v>&lt;G1B&gt;`CAN USE GCASH ANYWHERE/ANYTIME (NET)&lt;Q&gt;</v>
      </c>
    </row>
    <row r="3" spans="1:10" x14ac:dyDescent="0.25">
      <c r="A3" s="30">
        <v>2000</v>
      </c>
      <c r="B3" s="11" t="s">
        <v>652</v>
      </c>
      <c r="C3" t="s">
        <v>16</v>
      </c>
      <c r="D3" t="s">
        <v>318</v>
      </c>
      <c r="F3" t="s">
        <v>326</v>
      </c>
      <c r="G3">
        <f t="shared" si="0"/>
        <v>2000</v>
      </c>
      <c r="H3" t="str">
        <f t="shared" si="1"/>
        <v>`     Can use GCash anywhere</v>
      </c>
      <c r="I3" t="s">
        <v>520</v>
      </c>
      <c r="J3" t="str">
        <f t="shared" si="2"/>
        <v>&lt;G2B&gt;&lt;G1P&gt;`     Can use GCash anywhere</v>
      </c>
    </row>
    <row r="4" spans="1:10" x14ac:dyDescent="0.25">
      <c r="A4" s="30" t="s">
        <v>653</v>
      </c>
      <c r="B4" s="11" t="s">
        <v>654</v>
      </c>
      <c r="C4" t="s">
        <v>16</v>
      </c>
      <c r="D4" t="s">
        <v>318</v>
      </c>
      <c r="F4" t="s">
        <v>326</v>
      </c>
      <c r="G4" t="str">
        <f t="shared" si="0"/>
        <v>2001+2017</v>
      </c>
      <c r="H4" t="str">
        <f t="shared" si="1"/>
        <v>`     Can buy load via GCash even while in-transit</v>
      </c>
      <c r="I4" t="s">
        <v>522</v>
      </c>
      <c r="J4" t="str">
        <f t="shared" si="2"/>
        <v>&lt;G1P&gt;`     Can buy load via GCash even while in-transit</v>
      </c>
    </row>
    <row r="5" spans="1:10" x14ac:dyDescent="0.25">
      <c r="A5" s="30">
        <v>2002</v>
      </c>
      <c r="B5" s="11" t="s">
        <v>655</v>
      </c>
      <c r="C5" t="s">
        <v>16</v>
      </c>
      <c r="D5" t="s">
        <v>318</v>
      </c>
      <c r="F5" t="s">
        <v>326</v>
      </c>
      <c r="G5">
        <f t="shared" si="0"/>
        <v>2002</v>
      </c>
      <c r="H5" t="str">
        <f t="shared" si="1"/>
        <v>`     GCash is reliable anywhere</v>
      </c>
      <c r="I5" t="s">
        <v>522</v>
      </c>
      <c r="J5" t="str">
        <f t="shared" si="2"/>
        <v>&lt;G1P&gt;`     GCash is reliable anywhere</v>
      </c>
    </row>
    <row r="6" spans="1:10" x14ac:dyDescent="0.25">
      <c r="A6" s="30">
        <v>2003</v>
      </c>
      <c r="B6" s="11" t="s">
        <v>656</v>
      </c>
      <c r="C6" t="s">
        <v>16</v>
      </c>
      <c r="D6" t="s">
        <v>318</v>
      </c>
      <c r="F6" t="s">
        <v>326</v>
      </c>
      <c r="G6">
        <f t="shared" si="0"/>
        <v>2003</v>
      </c>
      <c r="H6" t="str">
        <f t="shared" si="1"/>
        <v>`     Can buy load anywhere/anytime</v>
      </c>
      <c r="I6" t="s">
        <v>522</v>
      </c>
      <c r="J6" t="str">
        <f t="shared" si="2"/>
        <v>&lt;G1P&gt;`     Can buy load anywhere/anytime</v>
      </c>
    </row>
    <row r="7" spans="1:10" x14ac:dyDescent="0.25">
      <c r="A7" s="47">
        <v>2061</v>
      </c>
      <c r="B7" s="37" t="s">
        <v>657</v>
      </c>
      <c r="C7" t="s">
        <v>16</v>
      </c>
      <c r="D7" t="s">
        <v>318</v>
      </c>
      <c r="F7" t="s">
        <v>326</v>
      </c>
      <c r="G7">
        <f t="shared" si="0"/>
        <v>2061</v>
      </c>
      <c r="H7" t="str">
        <f t="shared" si="1"/>
        <v>`     Can buy load on GCash anytime/anywhere</v>
      </c>
      <c r="I7" t="s">
        <v>522</v>
      </c>
      <c r="J7" t="str">
        <f t="shared" si="2"/>
        <v>&lt;G1P&gt;`     Can buy load on GCash anytime/anywhere</v>
      </c>
    </row>
    <row r="8" spans="1:10" x14ac:dyDescent="0.25">
      <c r="A8" s="47">
        <v>2063</v>
      </c>
      <c r="B8" s="37" t="s">
        <v>658</v>
      </c>
      <c r="C8" t="s">
        <v>16</v>
      </c>
      <c r="D8" t="s">
        <v>318</v>
      </c>
      <c r="F8" t="s">
        <v>326</v>
      </c>
      <c r="G8">
        <f t="shared" si="0"/>
        <v>2063</v>
      </c>
      <c r="H8" t="str">
        <f t="shared" si="1"/>
        <v>`     Can use anytime anywhere</v>
      </c>
      <c r="I8" t="s">
        <v>522</v>
      </c>
      <c r="J8" t="str">
        <f t="shared" si="2"/>
        <v>&lt;G1P&gt;`     Can use anytime anywhere</v>
      </c>
    </row>
    <row r="9" spans="1:10" x14ac:dyDescent="0.25">
      <c r="A9" s="47">
        <v>2081</v>
      </c>
      <c r="B9" s="37" t="s">
        <v>659</v>
      </c>
      <c r="C9" t="s">
        <v>16</v>
      </c>
      <c r="D9" t="s">
        <v>318</v>
      </c>
      <c r="F9" t="s">
        <v>326</v>
      </c>
      <c r="G9">
        <f t="shared" si="0"/>
        <v>2081</v>
      </c>
      <c r="H9" t="str">
        <f t="shared" si="1"/>
        <v>`     Can load using GCash wherever you are</v>
      </c>
      <c r="I9" t="s">
        <v>522</v>
      </c>
      <c r="J9" t="str">
        <f t="shared" si="2"/>
        <v>&lt;G1P&gt;`     Can load using GCash wherever you are</v>
      </c>
    </row>
    <row r="10" spans="1:10" x14ac:dyDescent="0.25">
      <c r="A10" s="47">
        <v>2082</v>
      </c>
      <c r="B10" s="37" t="s">
        <v>660</v>
      </c>
      <c r="C10" t="s">
        <v>16</v>
      </c>
      <c r="D10" t="s">
        <v>318</v>
      </c>
      <c r="F10" t="s">
        <v>326</v>
      </c>
      <c r="G10">
        <f t="shared" si="0"/>
        <v>2082</v>
      </c>
      <c r="H10" t="str">
        <f t="shared" si="1"/>
        <v>`     Anywhere or anytime you can load with GCash</v>
      </c>
      <c r="I10" t="s">
        <v>522</v>
      </c>
      <c r="J10" t="str">
        <f t="shared" si="2"/>
        <v>&lt;G1P&gt;`     Anywhere or anytime you can load with GCash</v>
      </c>
    </row>
    <row r="11" spans="1:10" x14ac:dyDescent="0.25">
      <c r="A11" s="47">
        <v>2084</v>
      </c>
      <c r="B11" s="37" t="s">
        <v>661</v>
      </c>
      <c r="C11" t="s">
        <v>16</v>
      </c>
      <c r="D11" t="s">
        <v>318</v>
      </c>
      <c r="F11" t="s">
        <v>326</v>
      </c>
      <c r="G11">
        <f t="shared" si="0"/>
        <v>2084</v>
      </c>
      <c r="H11" t="str">
        <f t="shared" si="1"/>
        <v>`     GCash is anywhere</v>
      </c>
      <c r="I11" t="s">
        <v>522</v>
      </c>
      <c r="J11" t="str">
        <f t="shared" si="2"/>
        <v>&lt;G1P&gt;`     GCash is anywhere</v>
      </c>
    </row>
    <row r="12" spans="1:10" x14ac:dyDescent="0.25">
      <c r="A12" s="47">
        <v>2056</v>
      </c>
      <c r="B12" s="37" t="s">
        <v>662</v>
      </c>
      <c r="C12" t="s">
        <v>16</v>
      </c>
      <c r="D12" t="s">
        <v>318</v>
      </c>
      <c r="F12" t="s">
        <v>326</v>
      </c>
      <c r="G12">
        <f t="shared" si="0"/>
        <v>2056</v>
      </c>
      <c r="H12" t="str">
        <f t="shared" si="1"/>
        <v>`     Can access GCash anywhere</v>
      </c>
      <c r="I12" t="s">
        <v>522</v>
      </c>
      <c r="J12" t="str">
        <f t="shared" si="2"/>
        <v>&lt;G1P&gt;`     Can access GCash anywhere</v>
      </c>
    </row>
    <row r="13" spans="1:10" x14ac:dyDescent="0.25">
      <c r="A13" s="47">
        <v>2104</v>
      </c>
      <c r="B13" s="37" t="s">
        <v>663</v>
      </c>
      <c r="C13" t="s">
        <v>16</v>
      </c>
      <c r="D13" t="s">
        <v>318</v>
      </c>
      <c r="F13" t="s">
        <v>326</v>
      </c>
      <c r="G13">
        <f t="shared" si="0"/>
        <v>2104</v>
      </c>
      <c r="H13" t="str">
        <f t="shared" si="1"/>
        <v>`     Many are using GCash</v>
      </c>
      <c r="I13" t="s">
        <v>521</v>
      </c>
      <c r="J13" t="str">
        <f t="shared" si="2"/>
        <v>&lt;G2E&gt;&lt;G1P&gt;`     Many are using GCash</v>
      </c>
    </row>
    <row r="14" spans="1:10" ht="15.75" x14ac:dyDescent="0.25">
      <c r="A14" s="30" t="s">
        <v>799</v>
      </c>
      <c r="B14" s="12" t="s">
        <v>664</v>
      </c>
      <c r="C14" t="s">
        <v>6</v>
      </c>
      <c r="D14" t="s">
        <v>323</v>
      </c>
      <c r="E14" t="s">
        <v>322</v>
      </c>
      <c r="F14" t="s">
        <v>327</v>
      </c>
      <c r="G14" t="str">
        <f t="shared" si="0"/>
        <v>2004+2096</v>
      </c>
      <c r="H14" t="str">
        <f t="shared" si="1"/>
        <v>`EASE OF ACCESS (NET)&lt;Q&gt;</v>
      </c>
      <c r="J14" t="str">
        <f t="shared" si="2"/>
        <v>`EASE OF ACCESS (NET)&lt;Q&gt;</v>
      </c>
    </row>
    <row r="15" spans="1:10" x14ac:dyDescent="0.25">
      <c r="A15" s="30">
        <v>2004</v>
      </c>
      <c r="B15" s="11" t="s">
        <v>665</v>
      </c>
      <c r="C15" t="s">
        <v>16</v>
      </c>
      <c r="D15" t="s">
        <v>318</v>
      </c>
      <c r="F15" t="s">
        <v>326</v>
      </c>
      <c r="G15">
        <f t="shared" si="0"/>
        <v>2004</v>
      </c>
      <c r="H15" t="str">
        <f t="shared" si="1"/>
        <v>`     Easy access</v>
      </c>
      <c r="I15" t="s">
        <v>520</v>
      </c>
      <c r="J15" t="str">
        <f t="shared" si="2"/>
        <v>&lt;G2B&gt;&lt;G1P&gt;`     Easy access</v>
      </c>
    </row>
    <row r="16" spans="1:10" x14ac:dyDescent="0.25">
      <c r="A16" s="47">
        <v>2096</v>
      </c>
      <c r="B16" s="37" t="s">
        <v>666</v>
      </c>
      <c r="C16" t="s">
        <v>16</v>
      </c>
      <c r="D16" t="s">
        <v>318</v>
      </c>
      <c r="F16" t="s">
        <v>326</v>
      </c>
      <c r="G16">
        <f t="shared" si="0"/>
        <v>2096</v>
      </c>
      <c r="H16" t="str">
        <f t="shared" si="1"/>
        <v>`     Can be use in any online transaction</v>
      </c>
      <c r="I16" t="s">
        <v>521</v>
      </c>
      <c r="J16" t="str">
        <f t="shared" si="2"/>
        <v>&lt;G2E&gt;&lt;G1P&gt;`     Can be use in any online transaction</v>
      </c>
    </row>
    <row r="17" spans="1:10" ht="15.75" x14ac:dyDescent="0.25">
      <c r="A17" s="32" t="s">
        <v>800</v>
      </c>
      <c r="B17" s="12" t="s">
        <v>667</v>
      </c>
      <c r="C17" t="s">
        <v>6</v>
      </c>
      <c r="D17" t="s">
        <v>323</v>
      </c>
      <c r="E17" t="s">
        <v>322</v>
      </c>
      <c r="F17" t="s">
        <v>327</v>
      </c>
      <c r="G17" t="str">
        <f t="shared" si="0"/>
        <v>2008+2042+2107+2108</v>
      </c>
      <c r="H17" t="str">
        <f t="shared" si="1"/>
        <v>`HAPPY (NET)&lt;Q&gt;</v>
      </c>
      <c r="J17" t="str">
        <f t="shared" si="2"/>
        <v>`HAPPY (NET)&lt;Q&gt;</v>
      </c>
    </row>
    <row r="18" spans="1:10" x14ac:dyDescent="0.25">
      <c r="A18" s="32" t="s">
        <v>668</v>
      </c>
      <c r="B18" s="11" t="s">
        <v>669</v>
      </c>
      <c r="C18" t="s">
        <v>16</v>
      </c>
      <c r="D18" t="s">
        <v>318</v>
      </c>
      <c r="F18" t="s">
        <v>326</v>
      </c>
      <c r="G18" t="str">
        <f t="shared" si="0"/>
        <v>2008+2042</v>
      </c>
      <c r="H18" t="str">
        <f t="shared" si="1"/>
        <v>`     Happy</v>
      </c>
      <c r="I18" t="s">
        <v>520</v>
      </c>
      <c r="J18" t="str">
        <f t="shared" si="2"/>
        <v>&lt;G2B&gt;&lt;G1P&gt;`     Happy</v>
      </c>
    </row>
    <row r="19" spans="1:10" x14ac:dyDescent="0.25">
      <c r="A19" s="85">
        <v>2107</v>
      </c>
      <c r="B19" s="37" t="s">
        <v>670</v>
      </c>
      <c r="C19" t="s">
        <v>16</v>
      </c>
      <c r="D19" t="s">
        <v>318</v>
      </c>
      <c r="F19" t="s">
        <v>326</v>
      </c>
      <c r="G19">
        <f t="shared" si="0"/>
        <v>2107</v>
      </c>
      <c r="H19" t="str">
        <f t="shared" si="1"/>
        <v>`     Happy because of GCash</v>
      </c>
      <c r="I19" t="s">
        <v>522</v>
      </c>
      <c r="J19" t="str">
        <f t="shared" si="2"/>
        <v>&lt;G1P&gt;`     Happy because of GCash</v>
      </c>
    </row>
    <row r="20" spans="1:10" x14ac:dyDescent="0.25">
      <c r="A20" s="85">
        <v>2108</v>
      </c>
      <c r="B20" s="37" t="s">
        <v>671</v>
      </c>
      <c r="C20" t="s">
        <v>16</v>
      </c>
      <c r="D20" t="s">
        <v>318</v>
      </c>
      <c r="F20" t="s">
        <v>326</v>
      </c>
      <c r="G20">
        <f t="shared" si="0"/>
        <v>2108</v>
      </c>
      <c r="H20" t="str">
        <f t="shared" si="1"/>
        <v>`     Happy family</v>
      </c>
      <c r="I20" t="s">
        <v>521</v>
      </c>
      <c r="J20" t="str">
        <f t="shared" si="2"/>
        <v>&lt;G2E&gt;&lt;G1P&gt;`     Happy family</v>
      </c>
    </row>
    <row r="21" spans="1:10" ht="15.75" x14ac:dyDescent="0.25">
      <c r="A21" s="32" t="s">
        <v>801</v>
      </c>
      <c r="B21" s="12" t="s">
        <v>672</v>
      </c>
      <c r="C21" t="s">
        <v>6</v>
      </c>
      <c r="D21" t="s">
        <v>323</v>
      </c>
      <c r="E21" t="s">
        <v>322</v>
      </c>
      <c r="F21" t="s">
        <v>327</v>
      </c>
      <c r="G21" t="str">
        <f t="shared" si="0"/>
        <v>2013+2015+2016+2018+2019+2052+2055+2076+2078+2087+2088+2132+2139+2141</v>
      </c>
      <c r="H21" t="str">
        <f t="shared" si="1"/>
        <v>`BUY LOAD VIA GCASH (NET)&lt;Q&gt;</v>
      </c>
      <c r="J21" t="str">
        <f t="shared" si="2"/>
        <v>`BUY LOAD VIA GCASH (NET)&lt;Q&gt;</v>
      </c>
    </row>
    <row r="22" spans="1:10" x14ac:dyDescent="0.25">
      <c r="A22" s="32">
        <v>2013</v>
      </c>
      <c r="B22" s="11" t="s">
        <v>673</v>
      </c>
      <c r="C22" t="s">
        <v>16</v>
      </c>
      <c r="D22" t="s">
        <v>318</v>
      </c>
      <c r="F22" t="s">
        <v>326</v>
      </c>
      <c r="G22">
        <f t="shared" si="0"/>
        <v>2013</v>
      </c>
      <c r="H22" t="str">
        <f t="shared" si="1"/>
        <v>`     Need to buy load</v>
      </c>
      <c r="I22" t="s">
        <v>520</v>
      </c>
      <c r="J22" t="str">
        <f t="shared" si="2"/>
        <v>&lt;G2B&gt;&lt;G1P&gt;`     Need to buy load</v>
      </c>
    </row>
    <row r="23" spans="1:10" x14ac:dyDescent="0.25">
      <c r="A23" s="32">
        <v>2015</v>
      </c>
      <c r="B23" s="11" t="s">
        <v>674</v>
      </c>
      <c r="C23" t="s">
        <v>16</v>
      </c>
      <c r="D23" t="s">
        <v>318</v>
      </c>
      <c r="F23" t="s">
        <v>326</v>
      </c>
      <c r="G23">
        <f t="shared" si="0"/>
        <v>2015</v>
      </c>
      <c r="H23" t="str">
        <f t="shared" si="1"/>
        <v>`     Can buy load via GCash</v>
      </c>
      <c r="I23" t="s">
        <v>522</v>
      </c>
      <c r="J23" t="str">
        <f t="shared" si="2"/>
        <v>&lt;G1P&gt;`     Can buy load via GCash</v>
      </c>
    </row>
    <row r="24" spans="1:10" x14ac:dyDescent="0.25">
      <c r="A24" s="32">
        <v>2016</v>
      </c>
      <c r="B24" s="11" t="s">
        <v>675</v>
      </c>
      <c r="C24" t="s">
        <v>16</v>
      </c>
      <c r="D24" t="s">
        <v>318</v>
      </c>
      <c r="F24" t="s">
        <v>326</v>
      </c>
      <c r="G24">
        <f t="shared" si="0"/>
        <v>2016</v>
      </c>
      <c r="H24" t="str">
        <f t="shared" si="1"/>
        <v>`     Buy load</v>
      </c>
      <c r="I24" t="s">
        <v>522</v>
      </c>
      <c r="J24" t="str">
        <f t="shared" si="2"/>
        <v>&lt;G1P&gt;`     Buy load</v>
      </c>
    </row>
    <row r="25" spans="1:10" x14ac:dyDescent="0.25">
      <c r="A25" s="32">
        <v>2018</v>
      </c>
      <c r="B25" s="11" t="s">
        <v>676</v>
      </c>
      <c r="C25" t="s">
        <v>16</v>
      </c>
      <c r="D25" t="s">
        <v>318</v>
      </c>
      <c r="F25" t="s">
        <v>326</v>
      </c>
      <c r="G25">
        <f t="shared" si="0"/>
        <v>2018</v>
      </c>
      <c r="H25" t="str">
        <f t="shared" si="1"/>
        <v>`     Easier to buy load via GCash</v>
      </c>
      <c r="I25" t="s">
        <v>522</v>
      </c>
      <c r="J25" t="str">
        <f t="shared" si="2"/>
        <v>&lt;G1P&gt;`     Easier to buy load via GCash</v>
      </c>
    </row>
    <row r="26" spans="1:10" x14ac:dyDescent="0.25">
      <c r="A26" s="30">
        <v>2019</v>
      </c>
      <c r="B26" s="11" t="s">
        <v>677</v>
      </c>
      <c r="C26" t="s">
        <v>16</v>
      </c>
      <c r="D26" t="s">
        <v>318</v>
      </c>
      <c r="F26" t="s">
        <v>326</v>
      </c>
      <c r="G26">
        <f t="shared" si="0"/>
        <v>2019</v>
      </c>
      <c r="H26" t="str">
        <f t="shared" si="1"/>
        <v>`     Can buy load while in-transit</v>
      </c>
      <c r="I26" t="s">
        <v>522</v>
      </c>
      <c r="J26" t="str">
        <f t="shared" si="2"/>
        <v>&lt;G1P&gt;`     Can buy load while in-transit</v>
      </c>
    </row>
    <row r="27" spans="1:10" x14ac:dyDescent="0.25">
      <c r="A27" s="47">
        <v>2052</v>
      </c>
      <c r="B27" s="37" t="s">
        <v>576</v>
      </c>
      <c r="C27" t="s">
        <v>16</v>
      </c>
      <c r="D27" t="s">
        <v>318</v>
      </c>
      <c r="F27" t="s">
        <v>326</v>
      </c>
      <c r="G27">
        <f t="shared" si="0"/>
        <v>2052</v>
      </c>
      <c r="H27" t="str">
        <f t="shared" si="1"/>
        <v>`     Load</v>
      </c>
      <c r="I27" t="s">
        <v>522</v>
      </c>
      <c r="J27" t="str">
        <f t="shared" si="2"/>
        <v>&lt;G1P&gt;`     Load</v>
      </c>
    </row>
    <row r="28" spans="1:10" x14ac:dyDescent="0.25">
      <c r="A28" s="47">
        <v>2055</v>
      </c>
      <c r="B28" s="37" t="s">
        <v>678</v>
      </c>
      <c r="C28" t="s">
        <v>16</v>
      </c>
      <c r="D28" t="s">
        <v>318</v>
      </c>
      <c r="F28" t="s">
        <v>326</v>
      </c>
      <c r="G28">
        <f t="shared" si="0"/>
        <v>2055</v>
      </c>
      <c r="H28" t="str">
        <f t="shared" si="1"/>
        <v>`     About load</v>
      </c>
      <c r="I28" t="s">
        <v>522</v>
      </c>
      <c r="J28" t="str">
        <f t="shared" si="2"/>
        <v>&lt;G1P&gt;`     About load</v>
      </c>
    </row>
    <row r="29" spans="1:10" x14ac:dyDescent="0.25">
      <c r="A29" s="47">
        <v>2076</v>
      </c>
      <c r="B29" s="37" t="s">
        <v>679</v>
      </c>
      <c r="C29" t="s">
        <v>16</v>
      </c>
      <c r="D29" t="s">
        <v>318</v>
      </c>
      <c r="F29" t="s">
        <v>326</v>
      </c>
      <c r="G29">
        <f t="shared" si="0"/>
        <v>2076</v>
      </c>
      <c r="H29" t="str">
        <f t="shared" si="1"/>
        <v>`     Emergency load</v>
      </c>
      <c r="I29" t="s">
        <v>522</v>
      </c>
      <c r="J29" t="str">
        <f t="shared" si="2"/>
        <v>&lt;G1P&gt;`     Emergency load</v>
      </c>
    </row>
    <row r="30" spans="1:10" x14ac:dyDescent="0.25">
      <c r="A30" s="47">
        <v>2078</v>
      </c>
      <c r="B30" s="37" t="s">
        <v>680</v>
      </c>
      <c r="C30" t="s">
        <v>16</v>
      </c>
      <c r="D30" t="s">
        <v>318</v>
      </c>
      <c r="F30" t="s">
        <v>326</v>
      </c>
      <c r="G30">
        <f t="shared" si="0"/>
        <v>2078</v>
      </c>
      <c r="H30" t="str">
        <f t="shared" si="1"/>
        <v>`     GCash load</v>
      </c>
      <c r="I30" t="s">
        <v>522</v>
      </c>
      <c r="J30" t="str">
        <f t="shared" si="2"/>
        <v>&lt;G1P&gt;`     GCash load</v>
      </c>
    </row>
    <row r="31" spans="1:10" x14ac:dyDescent="0.25">
      <c r="A31" s="47">
        <v>2087</v>
      </c>
      <c r="B31" s="37" t="s">
        <v>681</v>
      </c>
      <c r="C31" t="s">
        <v>16</v>
      </c>
      <c r="D31" t="s">
        <v>318</v>
      </c>
      <c r="F31" t="s">
        <v>326</v>
      </c>
      <c r="G31">
        <f t="shared" si="0"/>
        <v>2087</v>
      </c>
      <c r="H31" t="str">
        <f t="shared" si="1"/>
        <v>`     Load online</v>
      </c>
      <c r="I31" t="s">
        <v>522</v>
      </c>
      <c r="J31" t="str">
        <f t="shared" si="2"/>
        <v>&lt;G1P&gt;`     Load online</v>
      </c>
    </row>
    <row r="32" spans="1:10" x14ac:dyDescent="0.25">
      <c r="A32" s="47">
        <v>2088</v>
      </c>
      <c r="B32" s="37" t="s">
        <v>682</v>
      </c>
      <c r="C32" t="s">
        <v>16</v>
      </c>
      <c r="D32" t="s">
        <v>318</v>
      </c>
      <c r="F32" t="s">
        <v>326</v>
      </c>
      <c r="G32">
        <f t="shared" si="0"/>
        <v>2088</v>
      </c>
      <c r="H32" t="str">
        <f t="shared" si="1"/>
        <v>`     Load thru GCash app</v>
      </c>
      <c r="I32" t="s">
        <v>522</v>
      </c>
      <c r="J32" t="str">
        <f t="shared" si="2"/>
        <v>&lt;G1P&gt;`     Load thru GCash app</v>
      </c>
    </row>
    <row r="33" spans="1:10" x14ac:dyDescent="0.25">
      <c r="A33" s="47">
        <v>2132</v>
      </c>
      <c r="B33" s="37" t="s">
        <v>683</v>
      </c>
      <c r="C33" t="s">
        <v>16</v>
      </c>
      <c r="D33" t="s">
        <v>318</v>
      </c>
      <c r="F33" t="s">
        <v>326</v>
      </c>
      <c r="G33">
        <f t="shared" si="0"/>
        <v>2132</v>
      </c>
      <c r="H33" t="str">
        <f t="shared" si="1"/>
        <v>`     Can share load</v>
      </c>
      <c r="I33" t="s">
        <v>522</v>
      </c>
      <c r="J33" t="str">
        <f t="shared" si="2"/>
        <v>&lt;G1P&gt;`     Can share load</v>
      </c>
    </row>
    <row r="34" spans="1:10" x14ac:dyDescent="0.25">
      <c r="A34" s="61">
        <v>2139</v>
      </c>
      <c r="B34" s="87" t="s">
        <v>684</v>
      </c>
      <c r="C34" t="s">
        <v>16</v>
      </c>
      <c r="D34" t="s">
        <v>318</v>
      </c>
      <c r="F34" t="s">
        <v>326</v>
      </c>
      <c r="G34">
        <f t="shared" ref="G34:G65" si="3">IF(A34="","",A34)</f>
        <v>2139</v>
      </c>
      <c r="H34" t="str">
        <f t="shared" ref="H34:H65" si="4">_xlfn.CONCAT(D34,SUBSTITUTE(B34,"""","`"""),E34)</f>
        <v>`     Group loading can be done with GCash</v>
      </c>
      <c r="I34" t="s">
        <v>522</v>
      </c>
      <c r="J34" t="str">
        <f t="shared" ref="J34:J65" si="5">_xlfn.CONCAT(I34,H34)</f>
        <v>&lt;G1P&gt;`     Group loading can be done with GCash</v>
      </c>
    </row>
    <row r="35" spans="1:10" x14ac:dyDescent="0.25">
      <c r="A35" s="61">
        <v>2141</v>
      </c>
      <c r="B35" s="87" t="s">
        <v>685</v>
      </c>
      <c r="C35" t="s">
        <v>16</v>
      </c>
      <c r="D35" t="s">
        <v>318</v>
      </c>
      <c r="F35" t="s">
        <v>326</v>
      </c>
      <c r="G35">
        <f t="shared" si="3"/>
        <v>2141</v>
      </c>
      <c r="H35" t="str">
        <f t="shared" si="4"/>
        <v>`     Can buy load even you are at home</v>
      </c>
      <c r="I35" t="s">
        <v>521</v>
      </c>
      <c r="J35" t="str">
        <f t="shared" si="5"/>
        <v>&lt;G2E&gt;&lt;G1P&gt;`     Can buy load even you are at home</v>
      </c>
    </row>
    <row r="36" spans="1:10" ht="15.75" x14ac:dyDescent="0.25">
      <c r="A36" s="30" t="s">
        <v>802</v>
      </c>
      <c r="B36" s="12" t="s">
        <v>686</v>
      </c>
      <c r="C36" t="s">
        <v>6</v>
      </c>
      <c r="D36" t="s">
        <v>323</v>
      </c>
      <c r="E36" t="s">
        <v>322</v>
      </c>
      <c r="F36" t="s">
        <v>327</v>
      </c>
      <c r="G36" t="str">
        <f t="shared" si="3"/>
        <v>2020+2021+2022+2102+2103</v>
      </c>
      <c r="H36" t="str">
        <f t="shared" si="4"/>
        <v>`PLAYING ONLINE GAMES (NET)&lt;Q&gt;</v>
      </c>
      <c r="J36" t="str">
        <f t="shared" si="5"/>
        <v>`PLAYING ONLINE GAMES (NET)&lt;Q&gt;</v>
      </c>
    </row>
    <row r="37" spans="1:10" x14ac:dyDescent="0.25">
      <c r="A37" s="30">
        <v>2020</v>
      </c>
      <c r="B37" s="11" t="s">
        <v>687</v>
      </c>
      <c r="C37" t="s">
        <v>16</v>
      </c>
      <c r="D37" t="s">
        <v>318</v>
      </c>
      <c r="F37" t="s">
        <v>326</v>
      </c>
      <c r="G37">
        <f t="shared" si="3"/>
        <v>2020</v>
      </c>
      <c r="H37" t="str">
        <f t="shared" si="4"/>
        <v>`     Can play games using GCash load</v>
      </c>
      <c r="I37" t="s">
        <v>520</v>
      </c>
      <c r="J37" t="str">
        <f t="shared" si="5"/>
        <v>&lt;G2B&gt;&lt;G1P&gt;`     Can play games using GCash load</v>
      </c>
    </row>
    <row r="38" spans="1:10" x14ac:dyDescent="0.25">
      <c r="A38" s="30">
        <v>2021</v>
      </c>
      <c r="B38" s="11" t="s">
        <v>688</v>
      </c>
      <c r="C38" t="s">
        <v>16</v>
      </c>
      <c r="D38" t="s">
        <v>318</v>
      </c>
      <c r="F38" t="s">
        <v>326</v>
      </c>
      <c r="G38">
        <f t="shared" si="3"/>
        <v>2021</v>
      </c>
      <c r="H38" t="str">
        <f t="shared" si="4"/>
        <v>`     Games</v>
      </c>
      <c r="I38" t="s">
        <v>522</v>
      </c>
      <c r="J38" t="str">
        <f t="shared" si="5"/>
        <v>&lt;G1P&gt;`     Games</v>
      </c>
    </row>
    <row r="39" spans="1:10" x14ac:dyDescent="0.25">
      <c r="A39" s="30">
        <v>2022</v>
      </c>
      <c r="B39" s="11" t="s">
        <v>689</v>
      </c>
      <c r="C39" t="s">
        <v>16</v>
      </c>
      <c r="D39" t="s">
        <v>318</v>
      </c>
      <c r="F39" t="s">
        <v>326</v>
      </c>
      <c r="G39">
        <f t="shared" si="3"/>
        <v>2022</v>
      </c>
      <c r="H39" t="str">
        <f t="shared" si="4"/>
        <v>`     Can be used for gaming</v>
      </c>
      <c r="I39" t="s">
        <v>522</v>
      </c>
      <c r="J39" t="str">
        <f t="shared" si="5"/>
        <v>&lt;G1P&gt;`     Can be used for gaming</v>
      </c>
    </row>
    <row r="40" spans="1:10" x14ac:dyDescent="0.25">
      <c r="A40" s="47">
        <v>2102</v>
      </c>
      <c r="B40" s="37" t="s">
        <v>690</v>
      </c>
      <c r="C40" t="s">
        <v>16</v>
      </c>
      <c r="D40" t="s">
        <v>318</v>
      </c>
      <c r="F40" t="s">
        <v>326</v>
      </c>
      <c r="G40">
        <f t="shared" si="3"/>
        <v>2102</v>
      </c>
      <c r="H40" t="str">
        <f t="shared" si="4"/>
        <v>`     GCash load streaming</v>
      </c>
      <c r="I40" t="s">
        <v>522</v>
      </c>
      <c r="J40" t="str">
        <f t="shared" si="5"/>
        <v>&lt;G1P&gt;`     GCash load streaming</v>
      </c>
    </row>
    <row r="41" spans="1:10" x14ac:dyDescent="0.25">
      <c r="A41" s="47">
        <v>2103</v>
      </c>
      <c r="B41" s="37" t="s">
        <v>691</v>
      </c>
      <c r="C41" t="s">
        <v>16</v>
      </c>
      <c r="D41" t="s">
        <v>318</v>
      </c>
      <c r="F41" t="s">
        <v>326</v>
      </c>
      <c r="G41">
        <f t="shared" si="3"/>
        <v>2103</v>
      </c>
      <c r="H41" t="str">
        <f t="shared" si="4"/>
        <v>`     GCash load gaming</v>
      </c>
      <c r="I41" t="s">
        <v>521</v>
      </c>
      <c r="J41" t="str">
        <f t="shared" si="5"/>
        <v>&lt;G2E&gt;&lt;G1P&gt;`     GCash load gaming</v>
      </c>
    </row>
    <row r="42" spans="1:10" ht="15.75" x14ac:dyDescent="0.25">
      <c r="A42" s="30" t="s">
        <v>803</v>
      </c>
      <c r="B42" s="12" t="s">
        <v>692</v>
      </c>
      <c r="C42" t="s">
        <v>6</v>
      </c>
      <c r="D42" t="s">
        <v>323</v>
      </c>
      <c r="E42" t="s">
        <v>322</v>
      </c>
      <c r="F42" t="s">
        <v>327</v>
      </c>
      <c r="G42" t="str">
        <f t="shared" si="3"/>
        <v>2023+2095</v>
      </c>
      <c r="H42" t="str">
        <f t="shared" si="4"/>
        <v>`LOAD SERVICE FEE (NET)&lt;Q&gt;</v>
      </c>
      <c r="J42" t="str">
        <f t="shared" si="5"/>
        <v>`LOAD SERVICE FEE (NET)&lt;Q&gt;</v>
      </c>
    </row>
    <row r="43" spans="1:10" x14ac:dyDescent="0.25">
      <c r="A43" s="30">
        <v>2023</v>
      </c>
      <c r="B43" s="11" t="s">
        <v>693</v>
      </c>
      <c r="C43" t="s">
        <v>16</v>
      </c>
      <c r="D43" t="s">
        <v>318</v>
      </c>
      <c r="F43" t="s">
        <v>326</v>
      </c>
      <c r="G43">
        <f t="shared" si="3"/>
        <v>2023</v>
      </c>
      <c r="H43" t="str">
        <f t="shared" si="4"/>
        <v>`     Load via GCash because there is no fee</v>
      </c>
      <c r="I43" t="s">
        <v>520</v>
      </c>
      <c r="J43" t="str">
        <f t="shared" si="5"/>
        <v>&lt;G2B&gt;&lt;G1P&gt;`     Load via GCash because there is no fee</v>
      </c>
    </row>
    <row r="44" spans="1:10" x14ac:dyDescent="0.25">
      <c r="A44" s="47">
        <v>2095</v>
      </c>
      <c r="B44" s="37" t="s">
        <v>694</v>
      </c>
      <c r="C44" t="s">
        <v>16</v>
      </c>
      <c r="D44" t="s">
        <v>318</v>
      </c>
      <c r="F44" t="s">
        <v>326</v>
      </c>
      <c r="G44">
        <f t="shared" si="3"/>
        <v>2095</v>
      </c>
      <c r="H44" t="str">
        <f t="shared" si="4"/>
        <v>`     No high transaction fee</v>
      </c>
      <c r="I44" t="s">
        <v>521</v>
      </c>
      <c r="J44" t="str">
        <f t="shared" si="5"/>
        <v>&lt;G2E&gt;&lt;G1P&gt;`     No high transaction fee</v>
      </c>
    </row>
    <row r="45" spans="1:10" ht="15.75" x14ac:dyDescent="0.25">
      <c r="A45" s="30" t="s">
        <v>804</v>
      </c>
      <c r="B45" s="12" t="s">
        <v>695</v>
      </c>
      <c r="C45" t="s">
        <v>6</v>
      </c>
      <c r="D45" t="s">
        <v>323</v>
      </c>
      <c r="E45" t="s">
        <v>322</v>
      </c>
      <c r="F45" t="s">
        <v>327</v>
      </c>
      <c r="G45" t="str">
        <f t="shared" si="3"/>
        <v>2024+2025+2026+2027+2028+2044+2045+2046+2047+2049+2051+2060+2100+2101+2113+2120+2123+2124+2128+2129+2130</v>
      </c>
      <c r="H45" t="str">
        <f t="shared" si="4"/>
        <v>`BONDING OF FRIENDS/FAMILY  (NET)&lt;Q&gt;</v>
      </c>
      <c r="J45" t="str">
        <f t="shared" si="5"/>
        <v>`BONDING OF FRIENDS/FAMILY  (NET)&lt;Q&gt;</v>
      </c>
    </row>
    <row r="46" spans="1:10" x14ac:dyDescent="0.25">
      <c r="A46" s="30">
        <v>2024</v>
      </c>
      <c r="B46" s="11" t="s">
        <v>696</v>
      </c>
      <c r="C46" t="s">
        <v>16</v>
      </c>
      <c r="D46" t="s">
        <v>318</v>
      </c>
      <c r="F46" t="s">
        <v>326</v>
      </c>
      <c r="G46">
        <f t="shared" si="3"/>
        <v>2024</v>
      </c>
      <c r="H46" t="str">
        <f t="shared" si="4"/>
        <v>`     Group friends</v>
      </c>
      <c r="I46" t="s">
        <v>520</v>
      </c>
      <c r="J46" t="str">
        <f t="shared" si="5"/>
        <v>&lt;G2B&gt;&lt;G1P&gt;`     Group friends</v>
      </c>
    </row>
    <row r="47" spans="1:10" x14ac:dyDescent="0.25">
      <c r="A47" s="30">
        <v>2025</v>
      </c>
      <c r="B47" s="11" t="s">
        <v>697</v>
      </c>
      <c r="C47" t="s">
        <v>16</v>
      </c>
      <c r="D47" t="s">
        <v>318</v>
      </c>
      <c r="F47" t="s">
        <v>326</v>
      </c>
      <c r="G47">
        <f t="shared" si="3"/>
        <v>2025</v>
      </c>
      <c r="H47" t="str">
        <f t="shared" si="4"/>
        <v>`     A lot of people like it</v>
      </c>
      <c r="I47" t="s">
        <v>522</v>
      </c>
      <c r="J47" t="str">
        <f t="shared" si="5"/>
        <v>&lt;G1P&gt;`     A lot of people like it</v>
      </c>
    </row>
    <row r="48" spans="1:10" x14ac:dyDescent="0.25">
      <c r="A48" s="30">
        <v>2026</v>
      </c>
      <c r="B48" s="11" t="s">
        <v>698</v>
      </c>
      <c r="C48" t="s">
        <v>16</v>
      </c>
      <c r="D48" t="s">
        <v>318</v>
      </c>
      <c r="F48" t="s">
        <v>326</v>
      </c>
      <c r="G48">
        <f t="shared" si="3"/>
        <v>2026</v>
      </c>
      <c r="H48" t="str">
        <f t="shared" si="4"/>
        <v>`     Bonding of friends with GCash</v>
      </c>
      <c r="I48" t="s">
        <v>522</v>
      </c>
      <c r="J48" t="str">
        <f t="shared" si="5"/>
        <v>&lt;G1P&gt;`     Bonding of friends with GCash</v>
      </c>
    </row>
    <row r="49" spans="1:10" x14ac:dyDescent="0.25">
      <c r="A49" s="30">
        <v>2027</v>
      </c>
      <c r="B49" s="11" t="s">
        <v>699</v>
      </c>
      <c r="C49" t="s">
        <v>16</v>
      </c>
      <c r="D49" t="s">
        <v>318</v>
      </c>
      <c r="F49" t="s">
        <v>326</v>
      </c>
      <c r="G49">
        <f t="shared" si="3"/>
        <v>2027</v>
      </c>
      <c r="H49" t="str">
        <f t="shared" si="4"/>
        <v>`     Because of GCash there is happy bonding</v>
      </c>
      <c r="I49" t="s">
        <v>522</v>
      </c>
      <c r="J49" t="str">
        <f t="shared" si="5"/>
        <v>&lt;G1P&gt;`     Because of GCash there is happy bonding</v>
      </c>
    </row>
    <row r="50" spans="1:10" x14ac:dyDescent="0.25">
      <c r="A50" s="30">
        <v>2028</v>
      </c>
      <c r="B50" s="11" t="s">
        <v>700</v>
      </c>
      <c r="C50" t="s">
        <v>16</v>
      </c>
      <c r="D50" t="s">
        <v>318</v>
      </c>
      <c r="F50" t="s">
        <v>326</v>
      </c>
      <c r="G50">
        <f t="shared" si="3"/>
        <v>2028</v>
      </c>
      <c r="H50" t="str">
        <f t="shared" si="4"/>
        <v>`     They are happy with what they are doing</v>
      </c>
      <c r="I50" t="s">
        <v>522</v>
      </c>
      <c r="J50" t="str">
        <f t="shared" si="5"/>
        <v>&lt;G1P&gt;`     They are happy with what they are doing</v>
      </c>
    </row>
    <row r="51" spans="1:10" x14ac:dyDescent="0.25">
      <c r="A51" s="30">
        <v>2044</v>
      </c>
      <c r="B51" s="11" t="s">
        <v>701</v>
      </c>
      <c r="C51" t="s">
        <v>16</v>
      </c>
      <c r="D51" t="s">
        <v>318</v>
      </c>
      <c r="F51" t="s">
        <v>326</v>
      </c>
      <c r="G51">
        <f t="shared" si="3"/>
        <v>2044</v>
      </c>
      <c r="H51" t="str">
        <f t="shared" si="4"/>
        <v>`     Family is together and online games</v>
      </c>
      <c r="I51" t="s">
        <v>522</v>
      </c>
      <c r="J51" t="str">
        <f t="shared" si="5"/>
        <v>&lt;G1P&gt;`     Family is together and online games</v>
      </c>
    </row>
    <row r="52" spans="1:10" x14ac:dyDescent="0.25">
      <c r="A52" s="47">
        <v>2045</v>
      </c>
      <c r="B52" s="37" t="s">
        <v>702</v>
      </c>
      <c r="C52" t="s">
        <v>16</v>
      </c>
      <c r="D52" t="s">
        <v>318</v>
      </c>
      <c r="F52" t="s">
        <v>326</v>
      </c>
      <c r="G52">
        <f t="shared" si="3"/>
        <v>2045</v>
      </c>
      <c r="H52" t="str">
        <f t="shared" si="4"/>
        <v>`     Bonding</v>
      </c>
      <c r="I52" t="s">
        <v>522</v>
      </c>
      <c r="J52" t="str">
        <f t="shared" si="5"/>
        <v>&lt;G1P&gt;`     Bonding</v>
      </c>
    </row>
    <row r="53" spans="1:10" x14ac:dyDescent="0.25">
      <c r="A53" s="47">
        <v>2046</v>
      </c>
      <c r="B53" s="37" t="s">
        <v>703</v>
      </c>
      <c r="C53" t="s">
        <v>16</v>
      </c>
      <c r="D53" t="s">
        <v>318</v>
      </c>
      <c r="F53" t="s">
        <v>326</v>
      </c>
      <c r="G53">
        <f t="shared" si="3"/>
        <v>2046</v>
      </c>
      <c r="H53" t="str">
        <f t="shared" si="4"/>
        <v>`     Bonding with friends</v>
      </c>
      <c r="I53" t="s">
        <v>522</v>
      </c>
      <c r="J53" t="str">
        <f t="shared" si="5"/>
        <v>&lt;G1P&gt;`     Bonding with friends</v>
      </c>
    </row>
    <row r="54" spans="1:10" x14ac:dyDescent="0.25">
      <c r="A54" s="47">
        <v>2047</v>
      </c>
      <c r="B54" s="37" t="s">
        <v>704</v>
      </c>
      <c r="C54" t="s">
        <v>16</v>
      </c>
      <c r="D54" t="s">
        <v>318</v>
      </c>
      <c r="F54" t="s">
        <v>326</v>
      </c>
      <c r="G54">
        <f t="shared" si="3"/>
        <v>2047</v>
      </c>
      <c r="H54" t="str">
        <f t="shared" si="4"/>
        <v>`     Complete family</v>
      </c>
      <c r="I54" t="s">
        <v>522</v>
      </c>
      <c r="J54" t="str">
        <f t="shared" si="5"/>
        <v>&lt;G1P&gt;`     Complete family</v>
      </c>
    </row>
    <row r="55" spans="1:10" x14ac:dyDescent="0.25">
      <c r="A55" s="47">
        <v>2049</v>
      </c>
      <c r="B55" s="37" t="s">
        <v>705</v>
      </c>
      <c r="C55" t="s">
        <v>16</v>
      </c>
      <c r="D55" t="s">
        <v>318</v>
      </c>
      <c r="F55" t="s">
        <v>326</v>
      </c>
      <c r="G55">
        <f t="shared" si="3"/>
        <v>2049</v>
      </c>
      <c r="H55" t="str">
        <f t="shared" si="4"/>
        <v>`     Can connect family anywhere</v>
      </c>
      <c r="I55" t="s">
        <v>522</v>
      </c>
      <c r="J55" t="str">
        <f t="shared" si="5"/>
        <v>&lt;G1P&gt;`     Can connect family anywhere</v>
      </c>
    </row>
    <row r="56" spans="1:10" x14ac:dyDescent="0.25">
      <c r="A56" s="47">
        <v>2051</v>
      </c>
      <c r="B56" s="37" t="s">
        <v>706</v>
      </c>
      <c r="C56" t="s">
        <v>16</v>
      </c>
      <c r="D56" t="s">
        <v>318</v>
      </c>
      <c r="F56" t="s">
        <v>326</v>
      </c>
      <c r="G56">
        <f t="shared" si="3"/>
        <v>2051</v>
      </c>
      <c r="H56" t="str">
        <f t="shared" si="4"/>
        <v>`     Group hug</v>
      </c>
      <c r="I56" t="s">
        <v>522</v>
      </c>
      <c r="J56" t="str">
        <f t="shared" si="5"/>
        <v>&lt;G1P&gt;`     Group hug</v>
      </c>
    </row>
    <row r="57" spans="1:10" x14ac:dyDescent="0.25">
      <c r="A57" s="47">
        <v>2060</v>
      </c>
      <c r="B57" s="37" t="s">
        <v>707</v>
      </c>
      <c r="C57" t="s">
        <v>16</v>
      </c>
      <c r="D57" t="s">
        <v>318</v>
      </c>
      <c r="F57" t="s">
        <v>326</v>
      </c>
      <c r="G57">
        <f t="shared" si="3"/>
        <v>2060</v>
      </c>
      <c r="H57" t="str">
        <f t="shared" si="4"/>
        <v>`     Family can communicate using load form GCash</v>
      </c>
      <c r="I57" t="s">
        <v>522</v>
      </c>
      <c r="J57" t="str">
        <f t="shared" si="5"/>
        <v>&lt;G1P&gt;`     Family can communicate using load form GCash</v>
      </c>
    </row>
    <row r="58" spans="1:10" x14ac:dyDescent="0.25">
      <c r="A58" s="47">
        <v>2100</v>
      </c>
      <c r="B58" s="37" t="s">
        <v>708</v>
      </c>
      <c r="C58" t="s">
        <v>16</v>
      </c>
      <c r="D58" t="s">
        <v>318</v>
      </c>
      <c r="F58" t="s">
        <v>326</v>
      </c>
      <c r="G58">
        <f t="shared" si="3"/>
        <v>2100</v>
      </c>
      <c r="H58" t="str">
        <f t="shared" si="4"/>
        <v>`     Group of friends on a vehicle receiving GCash</v>
      </c>
      <c r="I58" t="s">
        <v>522</v>
      </c>
      <c r="J58" t="str">
        <f t="shared" si="5"/>
        <v>&lt;G1P&gt;`     Group of friends on a vehicle receiving GCash</v>
      </c>
    </row>
    <row r="59" spans="1:10" x14ac:dyDescent="0.25">
      <c r="A59" s="47">
        <v>2101</v>
      </c>
      <c r="B59" s="37" t="s">
        <v>709</v>
      </c>
      <c r="C59" t="s">
        <v>16</v>
      </c>
      <c r="D59" t="s">
        <v>318</v>
      </c>
      <c r="F59" t="s">
        <v>326</v>
      </c>
      <c r="G59">
        <f t="shared" si="3"/>
        <v>2101</v>
      </c>
      <c r="H59" t="str">
        <f t="shared" si="4"/>
        <v>`     Friends sharing load thru GCash</v>
      </c>
      <c r="I59" t="s">
        <v>522</v>
      </c>
      <c r="J59" t="str">
        <f t="shared" si="5"/>
        <v>&lt;G1P&gt;`     Friends sharing load thru GCash</v>
      </c>
    </row>
    <row r="60" spans="1:10" x14ac:dyDescent="0.25">
      <c r="A60" s="47">
        <v>2113</v>
      </c>
      <c r="B60" s="37" t="s">
        <v>710</v>
      </c>
      <c r="C60" t="s">
        <v>16</v>
      </c>
      <c r="D60" t="s">
        <v>318</v>
      </c>
      <c r="F60" t="s">
        <v>326</v>
      </c>
      <c r="G60">
        <f t="shared" si="3"/>
        <v>2113</v>
      </c>
      <c r="H60" t="str">
        <f t="shared" si="4"/>
        <v>`     Having a good relationship</v>
      </c>
      <c r="I60" t="s">
        <v>522</v>
      </c>
      <c r="J60" t="str">
        <f t="shared" si="5"/>
        <v>&lt;G1P&gt;`     Having a good relationship</v>
      </c>
    </row>
    <row r="61" spans="1:10" x14ac:dyDescent="0.25">
      <c r="A61" s="47">
        <v>2120</v>
      </c>
      <c r="B61" s="37" t="s">
        <v>711</v>
      </c>
      <c r="C61" t="s">
        <v>16</v>
      </c>
      <c r="D61" t="s">
        <v>318</v>
      </c>
      <c r="F61" t="s">
        <v>326</v>
      </c>
      <c r="G61">
        <f t="shared" si="3"/>
        <v>2120</v>
      </c>
      <c r="H61" t="str">
        <f t="shared" si="4"/>
        <v>`     Enjoying</v>
      </c>
      <c r="I61" t="s">
        <v>522</v>
      </c>
      <c r="J61" t="str">
        <f t="shared" si="5"/>
        <v>&lt;G1P&gt;`     Enjoying</v>
      </c>
    </row>
    <row r="62" spans="1:10" x14ac:dyDescent="0.25">
      <c r="A62" s="47">
        <v>2123</v>
      </c>
      <c r="B62" s="37" t="s">
        <v>712</v>
      </c>
      <c r="C62" t="s">
        <v>16</v>
      </c>
      <c r="D62" t="s">
        <v>318</v>
      </c>
      <c r="F62" t="s">
        <v>326</v>
      </c>
      <c r="G62">
        <f t="shared" si="3"/>
        <v>2123</v>
      </c>
      <c r="H62" t="str">
        <f t="shared" si="4"/>
        <v>`     Group of friends in online</v>
      </c>
      <c r="I62" t="s">
        <v>522</v>
      </c>
      <c r="J62" t="str">
        <f t="shared" si="5"/>
        <v>&lt;G1P&gt;`     Group of friends in online</v>
      </c>
    </row>
    <row r="63" spans="1:10" x14ac:dyDescent="0.25">
      <c r="A63" s="47">
        <v>2124</v>
      </c>
      <c r="B63" s="37" t="s">
        <v>713</v>
      </c>
      <c r="C63" t="s">
        <v>16</v>
      </c>
      <c r="D63" t="s">
        <v>318</v>
      </c>
      <c r="F63" t="s">
        <v>326</v>
      </c>
      <c r="G63">
        <f t="shared" si="3"/>
        <v>2124</v>
      </c>
      <c r="H63" t="str">
        <f t="shared" si="4"/>
        <v>`     United</v>
      </c>
      <c r="I63" t="s">
        <v>522</v>
      </c>
      <c r="J63" t="str">
        <f t="shared" si="5"/>
        <v>&lt;G1P&gt;`     United</v>
      </c>
    </row>
    <row r="64" spans="1:10" x14ac:dyDescent="0.25">
      <c r="A64" s="47">
        <v>2128</v>
      </c>
      <c r="B64" s="37" t="s">
        <v>714</v>
      </c>
      <c r="C64" t="s">
        <v>16</v>
      </c>
      <c r="D64" t="s">
        <v>318</v>
      </c>
      <c r="F64" t="s">
        <v>326</v>
      </c>
      <c r="G64">
        <f t="shared" si="3"/>
        <v>2128</v>
      </c>
      <c r="H64" t="str">
        <f t="shared" si="4"/>
        <v>`     GCash is for the whole family</v>
      </c>
      <c r="I64" t="s">
        <v>522</v>
      </c>
      <c r="J64" t="str">
        <f t="shared" si="5"/>
        <v>&lt;G1P&gt;`     GCash is for the whole family</v>
      </c>
    </row>
    <row r="65" spans="1:10" x14ac:dyDescent="0.25">
      <c r="A65" s="47">
        <v>2129</v>
      </c>
      <c r="B65" s="37" t="s">
        <v>715</v>
      </c>
      <c r="C65" t="s">
        <v>16</v>
      </c>
      <c r="D65" t="s">
        <v>318</v>
      </c>
      <c r="F65" t="s">
        <v>326</v>
      </c>
      <c r="G65">
        <f t="shared" si="3"/>
        <v>2129</v>
      </c>
      <c r="H65" t="str">
        <f t="shared" si="4"/>
        <v>`     For the family</v>
      </c>
      <c r="I65" t="s">
        <v>522</v>
      </c>
      <c r="J65" t="str">
        <f t="shared" si="5"/>
        <v>&lt;G1P&gt;`     For the family</v>
      </c>
    </row>
    <row r="66" spans="1:10" x14ac:dyDescent="0.25">
      <c r="A66" s="47">
        <v>2130</v>
      </c>
      <c r="B66" s="37" t="s">
        <v>716</v>
      </c>
      <c r="C66" t="s">
        <v>16</v>
      </c>
      <c r="D66" t="s">
        <v>318</v>
      </c>
      <c r="F66" t="s">
        <v>326</v>
      </c>
      <c r="G66">
        <f t="shared" ref="G66:G97" si="6">IF(A66="","",A66)</f>
        <v>2130</v>
      </c>
      <c r="H66" t="str">
        <f t="shared" ref="H66:H97" si="7">_xlfn.CONCAT(D66,SUBSTITUTE(B66,"""","`"""),E66)</f>
        <v>`     Bonding of family with GCash</v>
      </c>
      <c r="I66" t="s">
        <v>521</v>
      </c>
      <c r="J66" t="str">
        <f t="shared" ref="J66:J97" si="8">_xlfn.CONCAT(I66,H66)</f>
        <v>&lt;G2E&gt;&lt;G1P&gt;`     Bonding of family with GCash</v>
      </c>
    </row>
    <row r="67" spans="1:10" ht="15.75" x14ac:dyDescent="0.25">
      <c r="A67" s="30" t="s">
        <v>805</v>
      </c>
      <c r="B67" s="12" t="s">
        <v>717</v>
      </c>
      <c r="C67" t="s">
        <v>6</v>
      </c>
      <c r="D67" t="s">
        <v>323</v>
      </c>
      <c r="E67" t="s">
        <v>322</v>
      </c>
      <c r="F67" t="s">
        <v>327</v>
      </c>
      <c r="G67" t="str">
        <f t="shared" si="6"/>
        <v>2065+2066+2122+2143</v>
      </c>
      <c r="H67" t="str">
        <f t="shared" si="7"/>
        <v>`CONNECTING WITH FAMILY/FRIENDS THROUGH GCASH (NET)&lt;Q&gt;</v>
      </c>
      <c r="J67" t="str">
        <f t="shared" si="8"/>
        <v>`CONNECTING WITH FAMILY/FRIENDS THROUGH GCASH (NET)&lt;Q&gt;</v>
      </c>
    </row>
    <row r="68" spans="1:10" x14ac:dyDescent="0.25">
      <c r="A68" s="47">
        <v>2065</v>
      </c>
      <c r="B68" s="37" t="s">
        <v>718</v>
      </c>
      <c r="C68" t="s">
        <v>16</v>
      </c>
      <c r="D68" t="s">
        <v>318</v>
      </c>
      <c r="F68" t="s">
        <v>326</v>
      </c>
      <c r="G68">
        <f t="shared" si="6"/>
        <v>2065</v>
      </c>
      <c r="H68" t="str">
        <f t="shared" si="7"/>
        <v>`     Connecting family thru GCash</v>
      </c>
      <c r="I68" t="s">
        <v>520</v>
      </c>
      <c r="J68" t="str">
        <f t="shared" si="8"/>
        <v>&lt;G2B&gt;&lt;G1P&gt;`     Connecting family thru GCash</v>
      </c>
    </row>
    <row r="69" spans="1:10" x14ac:dyDescent="0.25">
      <c r="A69" s="47">
        <v>2066</v>
      </c>
      <c r="B69" s="37" t="s">
        <v>719</v>
      </c>
      <c r="C69" t="s">
        <v>16</v>
      </c>
      <c r="D69" t="s">
        <v>318</v>
      </c>
      <c r="F69" t="s">
        <v>326</v>
      </c>
      <c r="G69">
        <f t="shared" si="6"/>
        <v>2066</v>
      </c>
      <c r="H69" t="str">
        <f t="shared" si="7"/>
        <v>`     Connecting thru GCash</v>
      </c>
      <c r="I69" t="s">
        <v>522</v>
      </c>
      <c r="J69" t="str">
        <f t="shared" si="8"/>
        <v>&lt;G1P&gt;`     Connecting thru GCash</v>
      </c>
    </row>
    <row r="70" spans="1:10" x14ac:dyDescent="0.25">
      <c r="A70" s="47">
        <v>2122</v>
      </c>
      <c r="B70" s="37" t="s">
        <v>720</v>
      </c>
      <c r="C70" t="s">
        <v>16</v>
      </c>
      <c r="D70" t="s">
        <v>318</v>
      </c>
      <c r="F70" t="s">
        <v>326</v>
      </c>
      <c r="G70">
        <f t="shared" si="6"/>
        <v>2122</v>
      </c>
      <c r="H70" t="str">
        <f t="shared" si="7"/>
        <v>`     Even families are far from each other they are still connected</v>
      </c>
      <c r="I70" t="s">
        <v>522</v>
      </c>
      <c r="J70" t="str">
        <f t="shared" si="8"/>
        <v>&lt;G1P&gt;`     Even families are far from each other they are still connected</v>
      </c>
    </row>
    <row r="71" spans="1:10" x14ac:dyDescent="0.25">
      <c r="A71" s="61">
        <v>2143</v>
      </c>
      <c r="B71" s="87" t="s">
        <v>721</v>
      </c>
      <c r="C71" t="s">
        <v>16</v>
      </c>
      <c r="D71" t="s">
        <v>318</v>
      </c>
      <c r="F71" t="s">
        <v>326</v>
      </c>
      <c r="G71">
        <f t="shared" si="6"/>
        <v>2143</v>
      </c>
      <c r="H71" t="str">
        <f t="shared" si="7"/>
        <v>`     Easy connection to friends</v>
      </c>
      <c r="I71" t="s">
        <v>521</v>
      </c>
      <c r="J71" t="str">
        <f t="shared" si="8"/>
        <v>&lt;G2E&gt;&lt;G1P&gt;`     Easy connection to friends</v>
      </c>
    </row>
    <row r="72" spans="1:10" ht="15.75" x14ac:dyDescent="0.25">
      <c r="A72" s="30" t="s">
        <v>806</v>
      </c>
      <c r="B72" s="12" t="s">
        <v>400</v>
      </c>
      <c r="C72" t="s">
        <v>6</v>
      </c>
      <c r="D72" t="s">
        <v>323</v>
      </c>
      <c r="E72" t="s">
        <v>322</v>
      </c>
      <c r="F72" t="s">
        <v>327</v>
      </c>
      <c r="G72" t="str">
        <f t="shared" si="6"/>
        <v>2029+2048+2125</v>
      </c>
      <c r="H72" t="str">
        <f t="shared" si="7"/>
        <v>`PAYMENT (NET)&lt;Q&gt;</v>
      </c>
      <c r="J72" t="str">
        <f t="shared" si="8"/>
        <v>`PAYMENT (NET)&lt;Q&gt;</v>
      </c>
    </row>
    <row r="73" spans="1:10" x14ac:dyDescent="0.25">
      <c r="A73" s="30">
        <v>2029</v>
      </c>
      <c r="B73" s="11" t="s">
        <v>722</v>
      </c>
      <c r="C73" t="s">
        <v>16</v>
      </c>
      <c r="D73" t="s">
        <v>318</v>
      </c>
      <c r="F73" t="s">
        <v>326</v>
      </c>
      <c r="G73">
        <f t="shared" si="6"/>
        <v>2029</v>
      </c>
      <c r="H73" t="str">
        <f t="shared" si="7"/>
        <v>`     Easy to pay</v>
      </c>
      <c r="I73" t="s">
        <v>520</v>
      </c>
      <c r="J73" t="str">
        <f t="shared" si="8"/>
        <v>&lt;G2B&gt;&lt;G1P&gt;`     Easy to pay</v>
      </c>
    </row>
    <row r="74" spans="1:10" x14ac:dyDescent="0.25">
      <c r="A74" s="47">
        <v>2048</v>
      </c>
      <c r="B74" s="37" t="s">
        <v>723</v>
      </c>
      <c r="C74" t="s">
        <v>16</v>
      </c>
      <c r="D74" t="s">
        <v>318</v>
      </c>
      <c r="F74" t="s">
        <v>326</v>
      </c>
      <c r="G74">
        <f t="shared" si="6"/>
        <v>2048</v>
      </c>
      <c r="H74" t="str">
        <f t="shared" si="7"/>
        <v>`     Pay bills</v>
      </c>
      <c r="I74" t="s">
        <v>522</v>
      </c>
      <c r="J74" t="str">
        <f t="shared" si="8"/>
        <v>&lt;G1P&gt;`     Pay bills</v>
      </c>
    </row>
    <row r="75" spans="1:10" x14ac:dyDescent="0.25">
      <c r="A75" s="47">
        <v>2125</v>
      </c>
      <c r="B75" s="37" t="s">
        <v>724</v>
      </c>
      <c r="C75" t="s">
        <v>16</v>
      </c>
      <c r="D75" t="s">
        <v>318</v>
      </c>
      <c r="F75" t="s">
        <v>326</v>
      </c>
      <c r="G75">
        <f t="shared" si="6"/>
        <v>2125</v>
      </c>
      <c r="H75" t="str">
        <f t="shared" si="7"/>
        <v>`     Showing how easy payments are on GCash</v>
      </c>
      <c r="I75" t="s">
        <v>521</v>
      </c>
      <c r="J75" t="str">
        <f t="shared" si="8"/>
        <v>&lt;G2E&gt;&lt;G1P&gt;`     Showing how easy payments are on GCash</v>
      </c>
    </row>
    <row r="76" spans="1:10" ht="15.75" x14ac:dyDescent="0.25">
      <c r="A76" s="30" t="s">
        <v>807</v>
      </c>
      <c r="B76" s="12" t="s">
        <v>384</v>
      </c>
      <c r="C76" t="s">
        <v>6</v>
      </c>
      <c r="D76" t="s">
        <v>323</v>
      </c>
      <c r="E76" t="s">
        <v>322</v>
      </c>
      <c r="F76" t="s">
        <v>327</v>
      </c>
      <c r="G76" t="str">
        <f t="shared" si="6"/>
        <v>2030+2031+2064+2067+2069+2070+2071+2072+2073+2094+2032+2086+2089</v>
      </c>
      <c r="H76" t="str">
        <f t="shared" si="7"/>
        <v>`CONVENIENCE (NET)&lt;Q&gt;</v>
      </c>
      <c r="J76" t="str">
        <f t="shared" si="8"/>
        <v>`CONVENIENCE (NET)&lt;Q&gt;</v>
      </c>
    </row>
    <row r="77" spans="1:10" x14ac:dyDescent="0.25">
      <c r="A77" s="30">
        <v>2030</v>
      </c>
      <c r="B77" s="11" t="s">
        <v>725</v>
      </c>
      <c r="C77" t="s">
        <v>16</v>
      </c>
      <c r="D77" t="s">
        <v>318</v>
      </c>
      <c r="F77" t="s">
        <v>326</v>
      </c>
      <c r="G77">
        <f t="shared" si="6"/>
        <v>2030</v>
      </c>
      <c r="H77" t="str">
        <f t="shared" si="7"/>
        <v>`     More convenient</v>
      </c>
      <c r="I77" t="s">
        <v>520</v>
      </c>
      <c r="J77" t="str">
        <f t="shared" si="8"/>
        <v>&lt;G2B&gt;&lt;G1P&gt;`     More convenient</v>
      </c>
    </row>
    <row r="78" spans="1:10" x14ac:dyDescent="0.25">
      <c r="A78" s="30">
        <v>2031</v>
      </c>
      <c r="B78" s="11" t="s">
        <v>726</v>
      </c>
      <c r="C78" t="s">
        <v>16</v>
      </c>
      <c r="D78" t="s">
        <v>318</v>
      </c>
      <c r="F78" t="s">
        <v>326</v>
      </c>
      <c r="G78">
        <f t="shared" si="6"/>
        <v>2031</v>
      </c>
      <c r="H78" t="str">
        <f t="shared" si="7"/>
        <v>`     Convenient since no need to go to the stores to buy load</v>
      </c>
      <c r="I78" t="s">
        <v>522</v>
      </c>
      <c r="J78" t="str">
        <f t="shared" si="8"/>
        <v>&lt;G1P&gt;`     Convenient since no need to go to the stores to buy load</v>
      </c>
    </row>
    <row r="79" spans="1:10" x14ac:dyDescent="0.25">
      <c r="A79" s="47">
        <v>2064</v>
      </c>
      <c r="B79" s="37" t="s">
        <v>727</v>
      </c>
      <c r="C79" t="s">
        <v>16</v>
      </c>
      <c r="D79" t="s">
        <v>318</v>
      </c>
      <c r="F79" t="s">
        <v>326</v>
      </c>
      <c r="G79">
        <f t="shared" si="6"/>
        <v>2064</v>
      </c>
      <c r="H79" t="str">
        <f t="shared" si="7"/>
        <v>`     Comfortable to load on GCash</v>
      </c>
      <c r="I79" t="s">
        <v>522</v>
      </c>
      <c r="J79" t="str">
        <f t="shared" si="8"/>
        <v>&lt;G1P&gt;`     Comfortable to load on GCash</v>
      </c>
    </row>
    <row r="80" spans="1:10" x14ac:dyDescent="0.25">
      <c r="A80" s="47">
        <v>2067</v>
      </c>
      <c r="B80" s="37" t="s">
        <v>385</v>
      </c>
      <c r="C80" t="s">
        <v>16</v>
      </c>
      <c r="D80" t="s">
        <v>318</v>
      </c>
      <c r="F80" t="s">
        <v>326</v>
      </c>
      <c r="G80">
        <f t="shared" si="6"/>
        <v>2067</v>
      </c>
      <c r="H80" t="str">
        <f t="shared" si="7"/>
        <v>`     Convenient</v>
      </c>
      <c r="I80" t="s">
        <v>522</v>
      </c>
      <c r="J80" t="str">
        <f t="shared" si="8"/>
        <v>&lt;G1P&gt;`     Convenient</v>
      </c>
    </row>
    <row r="81" spans="1:10" x14ac:dyDescent="0.25">
      <c r="A81" s="47">
        <v>2069</v>
      </c>
      <c r="B81" s="37" t="s">
        <v>728</v>
      </c>
      <c r="C81" t="s">
        <v>16</v>
      </c>
      <c r="D81" t="s">
        <v>318</v>
      </c>
      <c r="F81" t="s">
        <v>326</v>
      </c>
      <c r="G81">
        <f t="shared" si="6"/>
        <v>2069</v>
      </c>
      <c r="H81" t="str">
        <f t="shared" si="7"/>
        <v>`     Apps is convenient to use</v>
      </c>
      <c r="I81" t="s">
        <v>522</v>
      </c>
      <c r="J81" t="str">
        <f t="shared" si="8"/>
        <v>&lt;G1P&gt;`     Apps is convenient to use</v>
      </c>
    </row>
    <row r="82" spans="1:10" x14ac:dyDescent="0.25">
      <c r="A82" s="47">
        <v>2070</v>
      </c>
      <c r="B82" s="37" t="s">
        <v>729</v>
      </c>
      <c r="C82" t="s">
        <v>16</v>
      </c>
      <c r="D82" t="s">
        <v>318</v>
      </c>
      <c r="F82" t="s">
        <v>326</v>
      </c>
      <c r="G82">
        <f t="shared" si="6"/>
        <v>2070</v>
      </c>
      <c r="H82" t="str">
        <f t="shared" si="7"/>
        <v>`     Convenient to load online</v>
      </c>
      <c r="I82" t="s">
        <v>522</v>
      </c>
      <c r="J82" t="str">
        <f t="shared" si="8"/>
        <v>&lt;G1P&gt;`     Convenient to load online</v>
      </c>
    </row>
    <row r="83" spans="1:10" x14ac:dyDescent="0.25">
      <c r="A83" s="47">
        <v>2071</v>
      </c>
      <c r="B83" s="37" t="s">
        <v>730</v>
      </c>
      <c r="C83" t="s">
        <v>16</v>
      </c>
      <c r="D83" t="s">
        <v>318</v>
      </c>
      <c r="F83" t="s">
        <v>326</v>
      </c>
      <c r="G83">
        <f t="shared" si="6"/>
        <v>2071</v>
      </c>
      <c r="H83" t="str">
        <f t="shared" si="7"/>
        <v>`     Convenient to use</v>
      </c>
      <c r="I83" t="s">
        <v>522</v>
      </c>
      <c r="J83" t="str">
        <f t="shared" si="8"/>
        <v>&lt;G1P&gt;`     Convenient to use</v>
      </c>
    </row>
    <row r="84" spans="1:10" x14ac:dyDescent="0.25">
      <c r="A84" s="47">
        <v>2072</v>
      </c>
      <c r="B84" s="37" t="s">
        <v>731</v>
      </c>
      <c r="C84" t="s">
        <v>16</v>
      </c>
      <c r="D84" t="s">
        <v>318</v>
      </c>
      <c r="F84" t="s">
        <v>326</v>
      </c>
      <c r="G84">
        <f t="shared" si="6"/>
        <v>2072</v>
      </c>
      <c r="H84" t="str">
        <f t="shared" si="7"/>
        <v>`     User-friendly</v>
      </c>
      <c r="I84" t="s">
        <v>522</v>
      </c>
      <c r="J84" t="str">
        <f t="shared" si="8"/>
        <v>&lt;G1P&gt;`     User-friendly</v>
      </c>
    </row>
    <row r="85" spans="1:10" x14ac:dyDescent="0.25">
      <c r="A85" s="47">
        <v>2073</v>
      </c>
      <c r="B85" s="37" t="s">
        <v>732</v>
      </c>
      <c r="C85" t="s">
        <v>16</v>
      </c>
      <c r="D85" t="s">
        <v>318</v>
      </c>
      <c r="F85" t="s">
        <v>326</v>
      </c>
      <c r="G85">
        <f t="shared" si="6"/>
        <v>2073</v>
      </c>
      <c r="H85" t="str">
        <f t="shared" si="7"/>
        <v>`     GCash is convenient to use</v>
      </c>
      <c r="I85" t="s">
        <v>522</v>
      </c>
      <c r="J85" t="str">
        <f t="shared" si="8"/>
        <v>&lt;G1P&gt;`     GCash is convenient to use</v>
      </c>
    </row>
    <row r="86" spans="1:10" x14ac:dyDescent="0.25">
      <c r="A86" s="47">
        <v>2094</v>
      </c>
      <c r="B86" s="37" t="s">
        <v>733</v>
      </c>
      <c r="C86" t="s">
        <v>16</v>
      </c>
      <c r="D86" t="s">
        <v>318</v>
      </c>
      <c r="F86" t="s">
        <v>326</v>
      </c>
      <c r="G86">
        <f t="shared" si="6"/>
        <v>2094</v>
      </c>
      <c r="H86" t="str">
        <f t="shared" si="7"/>
        <v>`     Install GCash app for easy transactions</v>
      </c>
      <c r="I86" t="s">
        <v>522</v>
      </c>
      <c r="J86" t="str">
        <f t="shared" si="8"/>
        <v>&lt;G1P&gt;`     Install GCash app for easy transactions</v>
      </c>
    </row>
    <row r="87" spans="1:10" ht="15.75" x14ac:dyDescent="0.25">
      <c r="A87" s="30"/>
      <c r="B87" s="12" t="s">
        <v>734</v>
      </c>
      <c r="C87" t="s">
        <v>16</v>
      </c>
      <c r="D87" t="s">
        <v>318</v>
      </c>
      <c r="F87" t="s">
        <v>326</v>
      </c>
      <c r="G87" t="str">
        <f t="shared" si="6"/>
        <v/>
      </c>
      <c r="H87" t="str">
        <f t="shared" si="7"/>
        <v>`     GCASH IS RELIABLE (NET)</v>
      </c>
      <c r="I87" t="s">
        <v>522</v>
      </c>
      <c r="J87" t="str">
        <f t="shared" si="8"/>
        <v>&lt;G1P&gt;`     GCASH IS RELIABLE (NET)</v>
      </c>
    </row>
    <row r="88" spans="1:10" x14ac:dyDescent="0.25">
      <c r="A88" s="30">
        <v>2032</v>
      </c>
      <c r="B88" s="11" t="s">
        <v>735</v>
      </c>
      <c r="C88" t="s">
        <v>16</v>
      </c>
      <c r="D88" t="s">
        <v>318</v>
      </c>
      <c r="F88" t="s">
        <v>326</v>
      </c>
      <c r="G88">
        <f t="shared" si="6"/>
        <v>2032</v>
      </c>
      <c r="H88" t="str">
        <f t="shared" si="7"/>
        <v>`     GCash is reliable</v>
      </c>
      <c r="I88" t="s">
        <v>522</v>
      </c>
      <c r="J88" t="str">
        <f t="shared" si="8"/>
        <v>&lt;G1P&gt;`     GCash is reliable</v>
      </c>
    </row>
    <row r="89" spans="1:10" x14ac:dyDescent="0.25">
      <c r="A89" s="47">
        <v>2086</v>
      </c>
      <c r="B89" s="37" t="s">
        <v>736</v>
      </c>
      <c r="C89" t="s">
        <v>16</v>
      </c>
      <c r="D89" t="s">
        <v>318</v>
      </c>
      <c r="F89" t="s">
        <v>326</v>
      </c>
      <c r="G89">
        <f t="shared" si="6"/>
        <v>2086</v>
      </c>
      <c r="H89" t="str">
        <f t="shared" si="7"/>
        <v>`     Reliable anywhere you go</v>
      </c>
      <c r="I89" t="s">
        <v>522</v>
      </c>
      <c r="J89" t="str">
        <f t="shared" si="8"/>
        <v>&lt;G1P&gt;`     Reliable anywhere you go</v>
      </c>
    </row>
    <row r="90" spans="1:10" x14ac:dyDescent="0.25">
      <c r="A90" s="47">
        <v>2089</v>
      </c>
      <c r="B90" s="37" t="s">
        <v>737</v>
      </c>
      <c r="C90" t="s">
        <v>16</v>
      </c>
      <c r="D90" t="s">
        <v>318</v>
      </c>
      <c r="F90" t="s">
        <v>326</v>
      </c>
      <c r="G90">
        <f t="shared" si="6"/>
        <v>2089</v>
      </c>
      <c r="H90" t="str">
        <f t="shared" si="7"/>
        <v>`     GCash is reliable anytime</v>
      </c>
      <c r="I90" t="s">
        <v>521</v>
      </c>
      <c r="J90" t="str">
        <f t="shared" si="8"/>
        <v>&lt;G2E&gt;&lt;G1P&gt;`     GCash is reliable anytime</v>
      </c>
    </row>
    <row r="91" spans="1:10" ht="15.75" x14ac:dyDescent="0.25">
      <c r="A91" s="30" t="s">
        <v>808</v>
      </c>
      <c r="B91" s="12" t="s">
        <v>738</v>
      </c>
      <c r="C91" t="s">
        <v>6</v>
      </c>
      <c r="D91" t="s">
        <v>323</v>
      </c>
      <c r="E91" t="s">
        <v>322</v>
      </c>
      <c r="F91" t="s">
        <v>327</v>
      </c>
      <c r="G91" t="str">
        <f t="shared" si="6"/>
        <v>2033+2034+2035+2036+2005+2058+2068+2074+2075+2091+2105+2106+2098+2140</v>
      </c>
      <c r="H91" t="str">
        <f t="shared" si="7"/>
        <v>`EASE OF USE (NET)&lt;Q&gt;</v>
      </c>
      <c r="J91" t="str">
        <f t="shared" si="8"/>
        <v>`EASE OF USE (NET)&lt;Q&gt;</v>
      </c>
    </row>
    <row r="92" spans="1:10" x14ac:dyDescent="0.25">
      <c r="A92" s="30">
        <v>2033</v>
      </c>
      <c r="B92" s="11" t="s">
        <v>739</v>
      </c>
      <c r="C92" t="s">
        <v>16</v>
      </c>
      <c r="D92" t="s">
        <v>318</v>
      </c>
      <c r="F92" t="s">
        <v>326</v>
      </c>
      <c r="G92">
        <f t="shared" si="6"/>
        <v>2033</v>
      </c>
      <c r="H92" t="str">
        <f t="shared" si="7"/>
        <v xml:space="preserve">`     Easy to use </v>
      </c>
      <c r="I92" t="s">
        <v>520</v>
      </c>
      <c r="J92" t="str">
        <f t="shared" si="8"/>
        <v xml:space="preserve">&lt;G2B&gt;&lt;G1P&gt;`     Easy to use </v>
      </c>
    </row>
    <row r="93" spans="1:10" x14ac:dyDescent="0.25">
      <c r="A93" s="30">
        <v>2034</v>
      </c>
      <c r="B93" s="11" t="s">
        <v>740</v>
      </c>
      <c r="C93" t="s">
        <v>16</v>
      </c>
      <c r="D93" t="s">
        <v>318</v>
      </c>
      <c r="F93" t="s">
        <v>326</v>
      </c>
      <c r="G93">
        <f t="shared" si="6"/>
        <v>2034</v>
      </c>
      <c r="H93" t="str">
        <f t="shared" si="7"/>
        <v>`     Can easily buy load</v>
      </c>
      <c r="I93" t="s">
        <v>522</v>
      </c>
      <c r="J93" t="str">
        <f t="shared" si="8"/>
        <v>&lt;G1P&gt;`     Can easily buy load</v>
      </c>
    </row>
    <row r="94" spans="1:10" x14ac:dyDescent="0.25">
      <c r="A94" s="30">
        <v>2035</v>
      </c>
      <c r="B94" s="11" t="s">
        <v>741</v>
      </c>
      <c r="C94" t="s">
        <v>16</v>
      </c>
      <c r="D94" t="s">
        <v>318</v>
      </c>
      <c r="F94" t="s">
        <v>326</v>
      </c>
      <c r="G94">
        <f t="shared" si="6"/>
        <v>2035</v>
      </c>
      <c r="H94" t="str">
        <f t="shared" si="7"/>
        <v>`     Easy to buy load via GCash</v>
      </c>
      <c r="I94" t="s">
        <v>522</v>
      </c>
      <c r="J94" t="str">
        <f t="shared" si="8"/>
        <v>&lt;G1P&gt;`     Easy to buy load via GCash</v>
      </c>
    </row>
    <row r="95" spans="1:10" x14ac:dyDescent="0.25">
      <c r="A95" s="30">
        <v>2036</v>
      </c>
      <c r="B95" s="11" t="s">
        <v>742</v>
      </c>
      <c r="C95" t="s">
        <v>16</v>
      </c>
      <c r="D95" t="s">
        <v>318</v>
      </c>
      <c r="F95" t="s">
        <v>326</v>
      </c>
      <c r="G95">
        <f t="shared" si="6"/>
        <v>2036</v>
      </c>
      <c r="H95" t="str">
        <f t="shared" si="7"/>
        <v>`     Easy to use for all transactions</v>
      </c>
      <c r="I95" t="s">
        <v>522</v>
      </c>
      <c r="J95" t="str">
        <f t="shared" si="8"/>
        <v>&lt;G1P&gt;`     Easy to use for all transactions</v>
      </c>
    </row>
    <row r="96" spans="1:10" x14ac:dyDescent="0.25">
      <c r="A96" s="30">
        <v>2005</v>
      </c>
      <c r="B96" s="11" t="s">
        <v>743</v>
      </c>
      <c r="C96" t="s">
        <v>16</v>
      </c>
      <c r="D96" t="s">
        <v>318</v>
      </c>
      <c r="F96" t="s">
        <v>326</v>
      </c>
      <c r="G96">
        <f t="shared" si="6"/>
        <v>2005</v>
      </c>
      <c r="H96" t="str">
        <f t="shared" si="7"/>
        <v>`     Easy transaction</v>
      </c>
      <c r="I96" t="s">
        <v>522</v>
      </c>
      <c r="J96" t="str">
        <f t="shared" si="8"/>
        <v>&lt;G1P&gt;`     Easy transaction</v>
      </c>
    </row>
    <row r="97" spans="1:10" x14ac:dyDescent="0.25">
      <c r="A97" s="47">
        <v>2058</v>
      </c>
      <c r="B97" s="37" t="s">
        <v>744</v>
      </c>
      <c r="C97" t="s">
        <v>16</v>
      </c>
      <c r="D97" t="s">
        <v>318</v>
      </c>
      <c r="F97" t="s">
        <v>326</v>
      </c>
      <c r="G97">
        <f t="shared" si="6"/>
        <v>2058</v>
      </c>
      <c r="H97" t="str">
        <f t="shared" si="7"/>
        <v>`     GCash has easy transactions</v>
      </c>
      <c r="I97" t="s">
        <v>522</v>
      </c>
      <c r="J97" t="str">
        <f t="shared" si="8"/>
        <v>&lt;G1P&gt;`     GCash has easy transactions</v>
      </c>
    </row>
    <row r="98" spans="1:10" x14ac:dyDescent="0.25">
      <c r="A98" s="47">
        <v>2068</v>
      </c>
      <c r="B98" s="37" t="s">
        <v>745</v>
      </c>
      <c r="C98" t="s">
        <v>16</v>
      </c>
      <c r="D98" t="s">
        <v>318</v>
      </c>
      <c r="F98" t="s">
        <v>326</v>
      </c>
      <c r="G98">
        <f t="shared" ref="G98:G129" si="9">IF(A98="","",A98)</f>
        <v>2068</v>
      </c>
      <c r="H98" t="str">
        <f t="shared" ref="H98:H129" si="10">_xlfn.CONCAT(D98,SUBSTITUTE(B98,"""","`"""),E98)</f>
        <v>`     Useful</v>
      </c>
      <c r="I98" t="s">
        <v>522</v>
      </c>
      <c r="J98" t="str">
        <f t="shared" ref="J98:J129" si="11">_xlfn.CONCAT(I98,H98)</f>
        <v>&lt;G1P&gt;`     Useful</v>
      </c>
    </row>
    <row r="99" spans="1:10" x14ac:dyDescent="0.25">
      <c r="A99" s="47">
        <v>2074</v>
      </c>
      <c r="B99" s="37" t="s">
        <v>746</v>
      </c>
      <c r="C99" t="s">
        <v>16</v>
      </c>
      <c r="D99" t="s">
        <v>318</v>
      </c>
      <c r="F99" t="s">
        <v>326</v>
      </c>
      <c r="G99">
        <f t="shared" si="9"/>
        <v>2074</v>
      </c>
      <c r="H99" t="str">
        <f t="shared" si="10"/>
        <v>`     Easy</v>
      </c>
      <c r="I99" t="s">
        <v>522</v>
      </c>
      <c r="J99" t="str">
        <f t="shared" si="11"/>
        <v>&lt;G1P&gt;`     Easy</v>
      </c>
    </row>
    <row r="100" spans="1:10" x14ac:dyDescent="0.25">
      <c r="A100" s="47">
        <v>2075</v>
      </c>
      <c r="B100" s="37" t="s">
        <v>747</v>
      </c>
      <c r="C100" t="s">
        <v>16</v>
      </c>
      <c r="D100" t="s">
        <v>318</v>
      </c>
      <c r="F100" t="s">
        <v>326</v>
      </c>
      <c r="G100">
        <f t="shared" si="9"/>
        <v>2075</v>
      </c>
      <c r="H100" t="str">
        <f t="shared" si="10"/>
        <v>`     No hassle</v>
      </c>
      <c r="I100" t="s">
        <v>522</v>
      </c>
      <c r="J100" t="str">
        <f t="shared" si="11"/>
        <v>&lt;G1P&gt;`     No hassle</v>
      </c>
    </row>
    <row r="101" spans="1:10" x14ac:dyDescent="0.25">
      <c r="A101" s="47">
        <v>2091</v>
      </c>
      <c r="B101" s="37" t="s">
        <v>748</v>
      </c>
      <c r="C101" t="s">
        <v>16</v>
      </c>
      <c r="D101" t="s">
        <v>318</v>
      </c>
      <c r="F101" t="s">
        <v>326</v>
      </c>
      <c r="G101">
        <f t="shared" si="9"/>
        <v>2091</v>
      </c>
      <c r="H101" t="str">
        <f t="shared" si="10"/>
        <v>`     Easy to use GCash</v>
      </c>
      <c r="I101" t="s">
        <v>522</v>
      </c>
      <c r="J101" t="str">
        <f t="shared" si="11"/>
        <v>&lt;G1P&gt;`     Easy to use GCash</v>
      </c>
    </row>
    <row r="102" spans="1:10" x14ac:dyDescent="0.25">
      <c r="A102" s="47">
        <v>2105</v>
      </c>
      <c r="B102" s="37" t="s">
        <v>749</v>
      </c>
      <c r="C102" t="s">
        <v>16</v>
      </c>
      <c r="D102" t="s">
        <v>318</v>
      </c>
      <c r="F102" t="s">
        <v>326</v>
      </c>
      <c r="G102">
        <f t="shared" si="9"/>
        <v>2105</v>
      </c>
      <c r="H102" t="str">
        <f t="shared" si="10"/>
        <v>`     Easy to do transactions online</v>
      </c>
      <c r="I102" t="s">
        <v>522</v>
      </c>
      <c r="J102" t="str">
        <f t="shared" si="11"/>
        <v>&lt;G1P&gt;`     Easy to do transactions online</v>
      </c>
    </row>
    <row r="103" spans="1:10" x14ac:dyDescent="0.25">
      <c r="A103" s="47">
        <v>2106</v>
      </c>
      <c r="B103" s="37" t="s">
        <v>750</v>
      </c>
      <c r="C103" t="s">
        <v>16</v>
      </c>
      <c r="D103" t="s">
        <v>318</v>
      </c>
      <c r="F103" t="s">
        <v>326</v>
      </c>
      <c r="G103">
        <f t="shared" si="9"/>
        <v>2106</v>
      </c>
      <c r="H103" t="str">
        <f t="shared" si="10"/>
        <v>`     Can easily do transactions in our lives everyday</v>
      </c>
      <c r="I103" t="s">
        <v>522</v>
      </c>
      <c r="J103" t="str">
        <f t="shared" si="11"/>
        <v>&lt;G1P&gt;`     Can easily do transactions in our lives everyday</v>
      </c>
    </row>
    <row r="104" spans="1:10" x14ac:dyDescent="0.25">
      <c r="A104" s="47">
        <v>2098</v>
      </c>
      <c r="B104" s="37" t="s">
        <v>751</v>
      </c>
      <c r="C104" t="s">
        <v>16</v>
      </c>
      <c r="D104" t="s">
        <v>318</v>
      </c>
      <c r="F104" t="s">
        <v>326</v>
      </c>
      <c r="G104">
        <f t="shared" si="9"/>
        <v>2098</v>
      </c>
      <c r="H104" t="str">
        <f t="shared" si="10"/>
        <v>`     Showing how easy to use</v>
      </c>
      <c r="I104" t="s">
        <v>522</v>
      </c>
      <c r="J104" t="str">
        <f t="shared" si="11"/>
        <v>&lt;G1P&gt;`     Showing how easy to use</v>
      </c>
    </row>
    <row r="105" spans="1:10" x14ac:dyDescent="0.25">
      <c r="A105" s="86">
        <v>2140</v>
      </c>
      <c r="B105" s="87" t="s">
        <v>752</v>
      </c>
      <c r="C105" t="s">
        <v>16</v>
      </c>
      <c r="D105" t="s">
        <v>318</v>
      </c>
      <c r="F105" t="s">
        <v>326</v>
      </c>
      <c r="G105">
        <f t="shared" si="9"/>
        <v>2140</v>
      </c>
      <c r="H105" t="str">
        <f t="shared" si="10"/>
        <v>`     Easy to load</v>
      </c>
      <c r="I105" t="s">
        <v>521</v>
      </c>
      <c r="J105" t="str">
        <f t="shared" si="11"/>
        <v>&lt;G2E&gt;&lt;G1P&gt;`     Easy to load</v>
      </c>
    </row>
    <row r="106" spans="1:10" ht="15.75" x14ac:dyDescent="0.25">
      <c r="A106" s="32" t="s">
        <v>809</v>
      </c>
      <c r="B106" s="12" t="s">
        <v>411</v>
      </c>
      <c r="C106" t="s">
        <v>6</v>
      </c>
      <c r="D106" t="s">
        <v>323</v>
      </c>
      <c r="E106" t="s">
        <v>322</v>
      </c>
      <c r="F106" t="s">
        <v>327</v>
      </c>
      <c r="G106" t="str">
        <f t="shared" si="9"/>
        <v>2009+2010+2011+2014+2012+2053+2062+2077+2109+2138</v>
      </c>
      <c r="H106" t="str">
        <f t="shared" si="10"/>
        <v>`FAST TRANSACTION (NET)&lt;Q&gt;</v>
      </c>
      <c r="J106" t="str">
        <f t="shared" si="11"/>
        <v>`FAST TRANSACTION (NET)&lt;Q&gt;</v>
      </c>
    </row>
    <row r="107" spans="1:10" x14ac:dyDescent="0.25">
      <c r="A107" s="32">
        <v>2009</v>
      </c>
      <c r="B107" s="11" t="s">
        <v>412</v>
      </c>
      <c r="C107" t="s">
        <v>16</v>
      </c>
      <c r="D107" t="s">
        <v>318</v>
      </c>
      <c r="F107" t="s">
        <v>326</v>
      </c>
      <c r="G107">
        <f t="shared" si="9"/>
        <v>2009</v>
      </c>
      <c r="H107" t="str">
        <f t="shared" si="10"/>
        <v>`     Fast transaction</v>
      </c>
      <c r="I107" t="s">
        <v>520</v>
      </c>
      <c r="J107" t="str">
        <f t="shared" si="11"/>
        <v>&lt;G2B&gt;&lt;G1P&gt;`     Fast transaction</v>
      </c>
    </row>
    <row r="108" spans="1:10" x14ac:dyDescent="0.25">
      <c r="A108" s="32">
        <v>2010</v>
      </c>
      <c r="B108" s="11" t="s">
        <v>753</v>
      </c>
      <c r="C108" t="s">
        <v>16</v>
      </c>
      <c r="D108" t="s">
        <v>318</v>
      </c>
      <c r="F108" t="s">
        <v>326</v>
      </c>
      <c r="G108">
        <f t="shared" si="9"/>
        <v>2010</v>
      </c>
      <c r="H108" t="str">
        <f t="shared" si="10"/>
        <v>`     Faster transactions</v>
      </c>
      <c r="I108" t="s">
        <v>522</v>
      </c>
      <c r="J108" t="str">
        <f t="shared" si="11"/>
        <v>&lt;G1P&gt;`     Faster transactions</v>
      </c>
    </row>
    <row r="109" spans="1:10" x14ac:dyDescent="0.25">
      <c r="A109" s="32" t="s">
        <v>754</v>
      </c>
      <c r="B109" s="11" t="s">
        <v>755</v>
      </c>
      <c r="C109" t="s">
        <v>16</v>
      </c>
      <c r="D109" t="s">
        <v>318</v>
      </c>
      <c r="F109" t="s">
        <v>326</v>
      </c>
      <c r="G109" t="str">
        <f t="shared" si="9"/>
        <v>2011+2014</v>
      </c>
      <c r="H109" t="str">
        <f t="shared" si="10"/>
        <v>`     Quick to load via GCash</v>
      </c>
      <c r="I109" t="s">
        <v>522</v>
      </c>
      <c r="J109" t="str">
        <f t="shared" si="11"/>
        <v>&lt;G1P&gt;`     Quick to load via GCash</v>
      </c>
    </row>
    <row r="110" spans="1:10" x14ac:dyDescent="0.25">
      <c r="A110" s="32">
        <v>2012</v>
      </c>
      <c r="B110" s="11" t="s">
        <v>756</v>
      </c>
      <c r="C110" t="s">
        <v>16</v>
      </c>
      <c r="D110" t="s">
        <v>318</v>
      </c>
      <c r="F110" t="s">
        <v>326</v>
      </c>
      <c r="G110">
        <f t="shared" si="9"/>
        <v>2012</v>
      </c>
      <c r="H110" t="str">
        <f t="shared" si="10"/>
        <v>`     Faster transactions in GCash</v>
      </c>
      <c r="I110" t="s">
        <v>522</v>
      </c>
      <c r="J110" t="str">
        <f t="shared" si="11"/>
        <v>&lt;G1P&gt;`     Faster transactions in GCash</v>
      </c>
    </row>
    <row r="111" spans="1:10" x14ac:dyDescent="0.25">
      <c r="A111" s="85">
        <v>2053</v>
      </c>
      <c r="B111" s="37" t="s">
        <v>757</v>
      </c>
      <c r="C111" t="s">
        <v>16</v>
      </c>
      <c r="D111" t="s">
        <v>318</v>
      </c>
      <c r="F111" t="s">
        <v>326</v>
      </c>
      <c r="G111">
        <f t="shared" si="9"/>
        <v>2053</v>
      </c>
      <c r="H111" t="str">
        <f t="shared" si="10"/>
        <v>`     Fast transactions to buy load</v>
      </c>
      <c r="I111" t="s">
        <v>522</v>
      </c>
      <c r="J111" t="str">
        <f t="shared" si="11"/>
        <v>&lt;G1P&gt;`     Fast transactions to buy load</v>
      </c>
    </row>
    <row r="112" spans="1:10" x14ac:dyDescent="0.25">
      <c r="A112" s="85">
        <v>2062</v>
      </c>
      <c r="B112" s="37" t="s">
        <v>758</v>
      </c>
      <c r="C112" t="s">
        <v>16</v>
      </c>
      <c r="D112" t="s">
        <v>318</v>
      </c>
      <c r="F112" t="s">
        <v>326</v>
      </c>
      <c r="G112">
        <f t="shared" si="9"/>
        <v>2062</v>
      </c>
      <c r="H112" t="str">
        <f t="shared" si="10"/>
        <v>`     Can buy load faster</v>
      </c>
      <c r="I112" t="s">
        <v>522</v>
      </c>
      <c r="J112" t="str">
        <f t="shared" si="11"/>
        <v>&lt;G1P&gt;`     Can buy load faster</v>
      </c>
    </row>
    <row r="113" spans="1:10" x14ac:dyDescent="0.25">
      <c r="A113" s="85">
        <v>2077</v>
      </c>
      <c r="B113" s="37" t="s">
        <v>759</v>
      </c>
      <c r="C113" t="s">
        <v>16</v>
      </c>
      <c r="D113" t="s">
        <v>318</v>
      </c>
      <c r="F113" t="s">
        <v>326</v>
      </c>
      <c r="G113">
        <f t="shared" si="9"/>
        <v>2077</v>
      </c>
      <c r="H113" t="str">
        <f t="shared" si="10"/>
        <v>`     Fast to any transactions</v>
      </c>
      <c r="I113" t="s">
        <v>522</v>
      </c>
      <c r="J113" t="str">
        <f t="shared" si="11"/>
        <v>&lt;G1P&gt;`     Fast to any transactions</v>
      </c>
    </row>
    <row r="114" spans="1:10" x14ac:dyDescent="0.25">
      <c r="A114" s="85">
        <v>2109</v>
      </c>
      <c r="B114" s="37" t="s">
        <v>760</v>
      </c>
      <c r="C114" t="s">
        <v>16</v>
      </c>
      <c r="D114" t="s">
        <v>318</v>
      </c>
      <c r="F114" t="s">
        <v>326</v>
      </c>
      <c r="G114">
        <f t="shared" si="9"/>
        <v>2109</v>
      </c>
      <c r="H114" t="str">
        <f t="shared" si="10"/>
        <v>`     Can rely for fast transactions in case of emergency</v>
      </c>
      <c r="I114" t="s">
        <v>522</v>
      </c>
      <c r="J114" t="str">
        <f t="shared" si="11"/>
        <v>&lt;G1P&gt;`     Can rely for fast transactions in case of emergency</v>
      </c>
    </row>
    <row r="115" spans="1:10" x14ac:dyDescent="0.25">
      <c r="A115" s="61">
        <v>2138</v>
      </c>
      <c r="B115" s="87" t="s">
        <v>761</v>
      </c>
      <c r="C115" t="s">
        <v>16</v>
      </c>
      <c r="D115" t="s">
        <v>318</v>
      </c>
      <c r="F115" t="s">
        <v>326</v>
      </c>
      <c r="G115">
        <f t="shared" si="9"/>
        <v>2138</v>
      </c>
      <c r="H115" t="str">
        <f t="shared" si="10"/>
        <v>`     Fast sending money using GCash</v>
      </c>
      <c r="I115" t="s">
        <v>521</v>
      </c>
      <c r="J115" t="str">
        <f t="shared" si="11"/>
        <v>&lt;G2E&gt;&lt;G1P&gt;`     Fast sending money using GCash</v>
      </c>
    </row>
    <row r="116" spans="1:10" ht="15.75" x14ac:dyDescent="0.25">
      <c r="A116" s="30" t="s">
        <v>810</v>
      </c>
      <c r="B116" s="12" t="s">
        <v>456</v>
      </c>
      <c r="C116" t="s">
        <v>6</v>
      </c>
      <c r="D116" t="s">
        <v>323</v>
      </c>
      <c r="E116" t="s">
        <v>322</v>
      </c>
      <c r="F116" t="s">
        <v>327</v>
      </c>
      <c r="G116" t="str">
        <f t="shared" si="9"/>
        <v>2037+2083</v>
      </c>
      <c r="H116" t="str">
        <f t="shared" si="10"/>
        <v>`INCLUSIVITY (NET)&lt;Q&gt;</v>
      </c>
      <c r="J116" t="str">
        <f t="shared" si="11"/>
        <v>`INCLUSIVITY (NET)&lt;Q&gt;</v>
      </c>
    </row>
    <row r="117" spans="1:10" x14ac:dyDescent="0.25">
      <c r="A117" s="30">
        <v>2037</v>
      </c>
      <c r="B117" s="11" t="s">
        <v>762</v>
      </c>
      <c r="C117" t="s">
        <v>16</v>
      </c>
      <c r="D117" t="s">
        <v>318</v>
      </c>
      <c r="F117" t="s">
        <v>326</v>
      </c>
      <c r="G117">
        <f t="shared" si="9"/>
        <v>2037</v>
      </c>
      <c r="H117" t="str">
        <f t="shared" si="10"/>
        <v>`     For everyone</v>
      </c>
      <c r="I117" t="s">
        <v>520</v>
      </c>
      <c r="J117" t="str">
        <f t="shared" si="11"/>
        <v>&lt;G2B&gt;&lt;G1P&gt;`     For everyone</v>
      </c>
    </row>
    <row r="118" spans="1:10" x14ac:dyDescent="0.25">
      <c r="A118" s="47">
        <v>2083</v>
      </c>
      <c r="B118" s="37" t="s">
        <v>763</v>
      </c>
      <c r="C118" t="s">
        <v>16</v>
      </c>
      <c r="D118" t="s">
        <v>318</v>
      </c>
      <c r="F118" t="s">
        <v>326</v>
      </c>
      <c r="G118">
        <f t="shared" si="9"/>
        <v>2083</v>
      </c>
      <c r="H118" t="str">
        <f t="shared" si="10"/>
        <v>`     Can load using any network</v>
      </c>
      <c r="I118" t="s">
        <v>521</v>
      </c>
      <c r="J118" t="str">
        <f t="shared" si="11"/>
        <v>&lt;G2E&gt;&lt;G1P&gt;`     Can load using any network</v>
      </c>
    </row>
    <row r="119" spans="1:10" ht="15.75" x14ac:dyDescent="0.25">
      <c r="A119" s="30" t="s">
        <v>811</v>
      </c>
      <c r="B119" s="12" t="s">
        <v>764</v>
      </c>
      <c r="C119" t="s">
        <v>6</v>
      </c>
      <c r="D119" t="s">
        <v>323</v>
      </c>
      <c r="E119" t="s">
        <v>322</v>
      </c>
      <c r="F119" t="s">
        <v>327</v>
      </c>
      <c r="G119" t="str">
        <f t="shared" si="9"/>
        <v>2038+2039+2040+2041+2099+2121+2135+2050</v>
      </c>
      <c r="H119" t="str">
        <f t="shared" si="10"/>
        <v>`GCASH PROMOTION (NET)&lt;Q&gt;</v>
      </c>
      <c r="J119" t="str">
        <f t="shared" si="11"/>
        <v>`GCASH PROMOTION (NET)&lt;Q&gt;</v>
      </c>
    </row>
    <row r="120" spans="1:10" x14ac:dyDescent="0.25">
      <c r="A120" s="30">
        <v>2038</v>
      </c>
      <c r="B120" s="11" t="s">
        <v>765</v>
      </c>
      <c r="C120" t="s">
        <v>16</v>
      </c>
      <c r="D120" t="s">
        <v>318</v>
      </c>
      <c r="F120" t="s">
        <v>326</v>
      </c>
      <c r="G120">
        <f t="shared" si="9"/>
        <v>2038</v>
      </c>
      <c r="H120" t="str">
        <f t="shared" si="10"/>
        <v>`     For awareness to use GCash</v>
      </c>
      <c r="I120" t="s">
        <v>520</v>
      </c>
      <c r="J120" t="str">
        <f t="shared" si="11"/>
        <v>&lt;G2B&gt;&lt;G1P&gt;`     For awareness to use GCash</v>
      </c>
    </row>
    <row r="121" spans="1:10" x14ac:dyDescent="0.25">
      <c r="A121" s="30">
        <v>2039</v>
      </c>
      <c r="B121" s="11" t="s">
        <v>766</v>
      </c>
      <c r="C121" t="s">
        <v>16</v>
      </c>
      <c r="D121" t="s">
        <v>318</v>
      </c>
      <c r="F121" t="s">
        <v>326</v>
      </c>
      <c r="G121">
        <f t="shared" si="9"/>
        <v>2039</v>
      </c>
      <c r="H121" t="str">
        <f t="shared" si="10"/>
        <v>`     GCash features</v>
      </c>
      <c r="I121" t="s">
        <v>522</v>
      </c>
      <c r="J121" t="str">
        <f t="shared" si="11"/>
        <v>&lt;G1P&gt;`     GCash features</v>
      </c>
    </row>
    <row r="122" spans="1:10" x14ac:dyDescent="0.25">
      <c r="A122" s="30">
        <v>2040</v>
      </c>
      <c r="B122" s="11" t="s">
        <v>767</v>
      </c>
      <c r="C122" t="s">
        <v>16</v>
      </c>
      <c r="D122" t="s">
        <v>318</v>
      </c>
      <c r="F122" t="s">
        <v>326</v>
      </c>
      <c r="G122">
        <f t="shared" si="9"/>
        <v>2040</v>
      </c>
      <c r="H122" t="str">
        <f t="shared" si="10"/>
        <v>`     Encourage to use GCash</v>
      </c>
      <c r="I122" t="s">
        <v>522</v>
      </c>
      <c r="J122" t="str">
        <f t="shared" si="11"/>
        <v>&lt;G1P&gt;`     Encourage to use GCash</v>
      </c>
    </row>
    <row r="123" spans="1:10" x14ac:dyDescent="0.25">
      <c r="A123" s="30">
        <v>2041</v>
      </c>
      <c r="B123" s="11" t="s">
        <v>768</v>
      </c>
      <c r="C123" t="s">
        <v>16</v>
      </c>
      <c r="D123" t="s">
        <v>318</v>
      </c>
      <c r="F123" t="s">
        <v>326</v>
      </c>
      <c r="G123">
        <f t="shared" si="9"/>
        <v>2041</v>
      </c>
      <c r="H123" t="str">
        <f t="shared" si="10"/>
        <v>`     To understand more about GCash and how accessible it is</v>
      </c>
      <c r="I123" t="s">
        <v>522</v>
      </c>
      <c r="J123" t="str">
        <f t="shared" si="11"/>
        <v>&lt;G1P&gt;`     To understand more about GCash and how accessible it is</v>
      </c>
    </row>
    <row r="124" spans="1:10" x14ac:dyDescent="0.25">
      <c r="A124" s="47">
        <v>2099</v>
      </c>
      <c r="B124" s="37" t="s">
        <v>769</v>
      </c>
      <c r="C124" t="s">
        <v>16</v>
      </c>
      <c r="D124" t="s">
        <v>318</v>
      </c>
      <c r="F124" t="s">
        <v>326</v>
      </c>
      <c r="G124">
        <f t="shared" si="9"/>
        <v>2099</v>
      </c>
      <c r="H124" t="str">
        <f t="shared" si="10"/>
        <v>`     Nice promo ad</v>
      </c>
      <c r="I124" t="s">
        <v>522</v>
      </c>
      <c r="J124" t="str">
        <f t="shared" si="11"/>
        <v>&lt;G1P&gt;`     Nice promo ad</v>
      </c>
    </row>
    <row r="125" spans="1:10" x14ac:dyDescent="0.25">
      <c r="A125" s="47">
        <v>2121</v>
      </c>
      <c r="B125" s="37" t="s">
        <v>770</v>
      </c>
      <c r="C125" t="s">
        <v>16</v>
      </c>
      <c r="D125" t="s">
        <v>318</v>
      </c>
      <c r="F125" t="s">
        <v>326</v>
      </c>
      <c r="G125">
        <f t="shared" si="9"/>
        <v>2121</v>
      </c>
      <c r="H125" t="str">
        <f t="shared" si="10"/>
        <v>`     Excited on GCash offer</v>
      </c>
      <c r="I125" t="s">
        <v>522</v>
      </c>
      <c r="J125" t="str">
        <f t="shared" si="11"/>
        <v>&lt;G1P&gt;`     Excited on GCash offer</v>
      </c>
    </row>
    <row r="126" spans="1:10" x14ac:dyDescent="0.25">
      <c r="A126" s="47">
        <v>2135</v>
      </c>
      <c r="B126" s="37" t="s">
        <v>771</v>
      </c>
      <c r="C126" t="s">
        <v>16</v>
      </c>
      <c r="D126" t="s">
        <v>318</v>
      </c>
      <c r="F126" t="s">
        <v>326</v>
      </c>
      <c r="G126">
        <f t="shared" si="9"/>
        <v>2135</v>
      </c>
      <c r="H126" t="str">
        <f t="shared" si="10"/>
        <v>`     Use GCash wisely</v>
      </c>
      <c r="I126" t="s">
        <v>522</v>
      </c>
      <c r="J126" t="str">
        <f t="shared" si="11"/>
        <v>&lt;G1P&gt;`     Use GCash wisely</v>
      </c>
    </row>
    <row r="127" spans="1:10" x14ac:dyDescent="0.25">
      <c r="A127" s="47">
        <v>2050</v>
      </c>
      <c r="B127" s="37" t="s">
        <v>470</v>
      </c>
      <c r="C127" t="s">
        <v>16</v>
      </c>
      <c r="D127" t="s">
        <v>318</v>
      </c>
      <c r="F127" t="s">
        <v>326</v>
      </c>
      <c r="G127">
        <f t="shared" si="9"/>
        <v>2050</v>
      </c>
      <c r="H127" t="str">
        <f t="shared" si="10"/>
        <v>`     About GCash</v>
      </c>
      <c r="I127" t="s">
        <v>521</v>
      </c>
      <c r="J127" t="str">
        <f t="shared" si="11"/>
        <v>&lt;G2E&gt;&lt;G1P&gt;`     About GCash</v>
      </c>
    </row>
    <row r="128" spans="1:10" ht="15.75" x14ac:dyDescent="0.25">
      <c r="A128" s="30">
        <v>2059</v>
      </c>
      <c r="B128" s="12" t="s">
        <v>772</v>
      </c>
      <c r="C128" t="s">
        <v>6</v>
      </c>
      <c r="D128" t="s">
        <v>323</v>
      </c>
      <c r="E128" t="s">
        <v>322</v>
      </c>
      <c r="F128" t="s">
        <v>327</v>
      </c>
      <c r="G128">
        <f t="shared" si="9"/>
        <v>2059</v>
      </c>
      <c r="H128" t="str">
        <f t="shared" si="10"/>
        <v>`TRUST (NET)&lt;Q&gt;</v>
      </c>
      <c r="J128" t="str">
        <f t="shared" si="11"/>
        <v>`TRUST (NET)&lt;Q&gt;</v>
      </c>
    </row>
    <row r="129" spans="1:10" x14ac:dyDescent="0.25">
      <c r="A129" s="47">
        <v>2059</v>
      </c>
      <c r="B129" s="37" t="s">
        <v>773</v>
      </c>
      <c r="C129" t="s">
        <v>16</v>
      </c>
      <c r="D129" t="s">
        <v>318</v>
      </c>
      <c r="F129" t="s">
        <v>326</v>
      </c>
      <c r="G129">
        <f t="shared" si="9"/>
        <v>2059</v>
      </c>
      <c r="H129" t="str">
        <f t="shared" si="10"/>
        <v>`     GCash can be trusted</v>
      </c>
      <c r="I129" t="s">
        <v>522</v>
      </c>
      <c r="J129" t="str">
        <f t="shared" si="11"/>
        <v>&lt;G1P&gt;`     GCash can be trusted</v>
      </c>
    </row>
    <row r="130" spans="1:10" ht="15.75" x14ac:dyDescent="0.25">
      <c r="A130" s="30">
        <v>2133</v>
      </c>
      <c r="B130" s="12" t="s">
        <v>415</v>
      </c>
      <c r="C130" t="s">
        <v>6</v>
      </c>
      <c r="D130" t="s">
        <v>323</v>
      </c>
      <c r="E130" t="s">
        <v>322</v>
      </c>
      <c r="F130" t="s">
        <v>327</v>
      </c>
      <c r="G130">
        <f t="shared" ref="G130:G159" si="12">IF(A130="","",A130)</f>
        <v>2133</v>
      </c>
      <c r="H130" t="str">
        <f t="shared" ref="H130:H159" si="13">_xlfn.CONCAT(D130,SUBSTITUTE(B130,"""","`"""),E130)</f>
        <v>`SAFETY AND SECURITY (NET)&lt;Q&gt;</v>
      </c>
      <c r="I130" t="s">
        <v>519</v>
      </c>
      <c r="J130" t="str">
        <f t="shared" ref="J130:J159" si="14">_xlfn.CONCAT(I130,H130)</f>
        <v>&lt;G1E&gt;`SAFETY AND SECURITY (NET)&lt;Q&gt;</v>
      </c>
    </row>
    <row r="131" spans="1:10" x14ac:dyDescent="0.25">
      <c r="A131" s="47">
        <v>2133</v>
      </c>
      <c r="B131" s="37" t="s">
        <v>774</v>
      </c>
      <c r="C131" t="s">
        <v>16</v>
      </c>
      <c r="D131" t="s">
        <v>318</v>
      </c>
      <c r="F131" t="s">
        <v>326</v>
      </c>
      <c r="G131">
        <f t="shared" si="12"/>
        <v>2133</v>
      </c>
      <c r="H131" t="str">
        <f t="shared" si="13"/>
        <v>`     Money is safe in GCash</v>
      </c>
      <c r="I131" t="s">
        <v>522</v>
      </c>
      <c r="J131" t="str">
        <f t="shared" si="14"/>
        <v>&lt;G1P&gt;`     Money is safe in GCash</v>
      </c>
    </row>
    <row r="132" spans="1:10" ht="15.75" x14ac:dyDescent="0.25">
      <c r="A132" s="30" t="s">
        <v>812</v>
      </c>
      <c r="B132" s="12" t="s">
        <v>332</v>
      </c>
      <c r="C132" t="s">
        <v>6</v>
      </c>
      <c r="D132" t="s">
        <v>323</v>
      </c>
      <c r="E132" t="s">
        <v>322</v>
      </c>
      <c r="F132" t="s">
        <v>327</v>
      </c>
      <c r="G132" t="str">
        <f t="shared" si="12"/>
        <v>2043+2114+2134+2136+2137+2142+2144+2145+2146</v>
      </c>
      <c r="H132" t="str">
        <f t="shared" si="13"/>
        <v>`OTHERS (NET)&lt;Q&gt;</v>
      </c>
      <c r="J132" t="str">
        <f t="shared" si="14"/>
        <v>`OTHERS (NET)&lt;Q&gt;</v>
      </c>
    </row>
    <row r="133" spans="1:10" x14ac:dyDescent="0.25">
      <c r="A133" s="30">
        <v>2043</v>
      </c>
      <c r="B133" s="11" t="s">
        <v>775</v>
      </c>
      <c r="C133" t="s">
        <v>16</v>
      </c>
      <c r="D133" t="s">
        <v>318</v>
      </c>
      <c r="F133" t="s">
        <v>326</v>
      </c>
      <c r="G133">
        <f t="shared" si="12"/>
        <v>2043</v>
      </c>
      <c r="H133" t="str">
        <f t="shared" si="13"/>
        <v>`     Can save money</v>
      </c>
      <c r="I133" t="s">
        <v>520</v>
      </c>
      <c r="J133" t="str">
        <f t="shared" si="14"/>
        <v>&lt;G2B&gt;&lt;G1P&gt;`     Can save money</v>
      </c>
    </row>
    <row r="134" spans="1:10" x14ac:dyDescent="0.25">
      <c r="A134" s="47">
        <v>2114</v>
      </c>
      <c r="B134" s="37" t="s">
        <v>776</v>
      </c>
      <c r="C134" t="s">
        <v>16</v>
      </c>
      <c r="D134" t="s">
        <v>318</v>
      </c>
      <c r="F134" t="s">
        <v>326</v>
      </c>
      <c r="G134">
        <f t="shared" si="12"/>
        <v>2114</v>
      </c>
      <c r="H134" t="str">
        <f t="shared" si="13"/>
        <v>`     Cannot understand the ad</v>
      </c>
      <c r="I134" t="s">
        <v>522</v>
      </c>
      <c r="J134" t="str">
        <f t="shared" si="14"/>
        <v>&lt;G1P&gt;`     Cannot understand the ad</v>
      </c>
    </row>
    <row r="135" spans="1:10" x14ac:dyDescent="0.25">
      <c r="A135" s="47">
        <v>2134</v>
      </c>
      <c r="B135" s="37" t="s">
        <v>777</v>
      </c>
      <c r="C135" t="s">
        <v>16</v>
      </c>
      <c r="D135" t="s">
        <v>318</v>
      </c>
      <c r="F135" t="s">
        <v>326</v>
      </c>
      <c r="G135">
        <f t="shared" si="12"/>
        <v>2134</v>
      </c>
      <c r="H135" t="str">
        <f t="shared" si="13"/>
        <v>`     This is awesome</v>
      </c>
      <c r="I135" t="s">
        <v>522</v>
      </c>
      <c r="J135" t="str">
        <f t="shared" si="14"/>
        <v>&lt;G1P&gt;`     This is awesome</v>
      </c>
    </row>
    <row r="136" spans="1:10" x14ac:dyDescent="0.25">
      <c r="A136" s="61">
        <v>2136</v>
      </c>
      <c r="B136" s="87" t="s">
        <v>778</v>
      </c>
      <c r="C136" t="s">
        <v>16</v>
      </c>
      <c r="D136" t="s">
        <v>318</v>
      </c>
      <c r="F136" t="s">
        <v>326</v>
      </c>
      <c r="G136">
        <f t="shared" si="12"/>
        <v>2136</v>
      </c>
      <c r="H136" t="str">
        <f t="shared" si="13"/>
        <v>`     Can transfer money using GCash</v>
      </c>
      <c r="I136" t="s">
        <v>522</v>
      </c>
      <c r="J136" t="str">
        <f t="shared" si="14"/>
        <v>&lt;G1P&gt;`     Can transfer money using GCash</v>
      </c>
    </row>
    <row r="137" spans="1:10" x14ac:dyDescent="0.25">
      <c r="A137" s="61">
        <v>2137</v>
      </c>
      <c r="B137" s="87" t="s">
        <v>779</v>
      </c>
      <c r="C137" t="s">
        <v>16</v>
      </c>
      <c r="D137" t="s">
        <v>318</v>
      </c>
      <c r="F137" t="s">
        <v>326</v>
      </c>
      <c r="G137">
        <f t="shared" si="12"/>
        <v>2137</v>
      </c>
      <c r="H137" t="str">
        <f t="shared" si="13"/>
        <v>`     No need cash</v>
      </c>
      <c r="I137" t="s">
        <v>522</v>
      </c>
      <c r="J137" t="str">
        <f t="shared" si="14"/>
        <v>&lt;G1P&gt;`     No need cash</v>
      </c>
    </row>
    <row r="138" spans="1:10" x14ac:dyDescent="0.25">
      <c r="A138" s="61">
        <v>2142</v>
      </c>
      <c r="B138" s="87" t="s">
        <v>780</v>
      </c>
      <c r="C138" t="s">
        <v>16</v>
      </c>
      <c r="D138" t="s">
        <v>318</v>
      </c>
      <c r="F138" t="s">
        <v>326</v>
      </c>
      <c r="G138">
        <f t="shared" si="12"/>
        <v>2142</v>
      </c>
      <c r="H138" t="str">
        <f t="shared" si="13"/>
        <v>`     It's cheaper to buy load in GCash</v>
      </c>
      <c r="I138" t="s">
        <v>522</v>
      </c>
      <c r="J138" t="str">
        <f t="shared" si="14"/>
        <v>&lt;G1P&gt;`     It's cheaper to buy load in GCash</v>
      </c>
    </row>
    <row r="139" spans="1:10" x14ac:dyDescent="0.25">
      <c r="A139" s="61">
        <v>2144</v>
      </c>
      <c r="B139" s="87" t="s">
        <v>781</v>
      </c>
      <c r="C139" t="s">
        <v>16</v>
      </c>
      <c r="D139" t="s">
        <v>318</v>
      </c>
      <c r="F139" t="s">
        <v>326</v>
      </c>
      <c r="G139">
        <f t="shared" si="12"/>
        <v>2144</v>
      </c>
      <c r="H139" t="str">
        <f t="shared" si="13"/>
        <v>`     You won't get hung up on watching anymore</v>
      </c>
      <c r="I139" t="s">
        <v>522</v>
      </c>
      <c r="J139" t="str">
        <f t="shared" si="14"/>
        <v>&lt;G1P&gt;`     You won't get hung up on watching anymore</v>
      </c>
    </row>
    <row r="140" spans="1:10" x14ac:dyDescent="0.25">
      <c r="A140" s="61">
        <v>2145</v>
      </c>
      <c r="B140" s="87" t="s">
        <v>782</v>
      </c>
      <c r="C140" t="s">
        <v>16</v>
      </c>
      <c r="D140" t="s">
        <v>318</v>
      </c>
      <c r="F140" t="s">
        <v>326</v>
      </c>
      <c r="G140">
        <f t="shared" si="12"/>
        <v>2145</v>
      </c>
      <c r="H140" t="str">
        <f t="shared" si="13"/>
        <v>`     So you won't run out of load</v>
      </c>
      <c r="I140" t="s">
        <v>522</v>
      </c>
      <c r="J140" t="str">
        <f t="shared" si="14"/>
        <v>&lt;G1P&gt;`     So you won't run out of load</v>
      </c>
    </row>
    <row r="141" spans="1:10" x14ac:dyDescent="0.25">
      <c r="A141" s="61">
        <v>2146</v>
      </c>
      <c r="B141" s="87" t="s">
        <v>783</v>
      </c>
      <c r="C141" t="s">
        <v>16</v>
      </c>
      <c r="D141" t="s">
        <v>318</v>
      </c>
      <c r="F141" t="s">
        <v>326</v>
      </c>
      <c r="G141">
        <f t="shared" si="12"/>
        <v>2146</v>
      </c>
      <c r="H141" t="str">
        <f t="shared" si="13"/>
        <v>`     GCash is a big help</v>
      </c>
      <c r="I141" t="s">
        <v>521</v>
      </c>
      <c r="J141" t="str">
        <f t="shared" si="14"/>
        <v>&lt;G2E&gt;&lt;G1P&gt;`     GCash is a big help</v>
      </c>
    </row>
    <row r="142" spans="1:10" ht="15.75" x14ac:dyDescent="0.25">
      <c r="A142" s="30" t="s">
        <v>813</v>
      </c>
      <c r="B142" s="12" t="s">
        <v>331</v>
      </c>
      <c r="C142" t="s">
        <v>6</v>
      </c>
      <c r="D142" t="s">
        <v>323</v>
      </c>
      <c r="E142" t="s">
        <v>322</v>
      </c>
      <c r="F142" t="s">
        <v>327</v>
      </c>
      <c r="G142" t="str">
        <f t="shared" si="12"/>
        <v>2054+2079+2093+2097+2110+2111+2115+2116+2117+2118+2119+2126</v>
      </c>
      <c r="H142" t="str">
        <f t="shared" si="13"/>
        <v>`VAGUE (NET)&lt;Q&gt;</v>
      </c>
      <c r="J142" t="str">
        <f t="shared" si="14"/>
        <v>`VAGUE (NET)&lt;Q&gt;</v>
      </c>
    </row>
    <row r="143" spans="1:10" x14ac:dyDescent="0.25">
      <c r="A143" s="47">
        <v>2054</v>
      </c>
      <c r="B143" s="37" t="s">
        <v>784</v>
      </c>
      <c r="C143" t="s">
        <v>16</v>
      </c>
      <c r="D143" t="s">
        <v>318</v>
      </c>
      <c r="F143" t="s">
        <v>326</v>
      </c>
      <c r="G143">
        <f t="shared" si="12"/>
        <v>2054</v>
      </c>
      <c r="H143" t="str">
        <f t="shared" si="13"/>
        <v>`     It's okay</v>
      </c>
      <c r="I143" t="s">
        <v>520</v>
      </c>
      <c r="J143" t="str">
        <f t="shared" si="14"/>
        <v>&lt;G2B&gt;&lt;G1P&gt;`     It's okay</v>
      </c>
    </row>
    <row r="144" spans="1:10" x14ac:dyDescent="0.25">
      <c r="A144" s="47">
        <v>2079</v>
      </c>
      <c r="B144" s="37" t="s">
        <v>785</v>
      </c>
      <c r="C144" t="s">
        <v>16</v>
      </c>
      <c r="D144" t="s">
        <v>318</v>
      </c>
      <c r="F144" t="s">
        <v>326</v>
      </c>
      <c r="G144">
        <f t="shared" si="12"/>
        <v>2079</v>
      </c>
      <c r="H144" t="str">
        <f t="shared" si="13"/>
        <v>`     Hug</v>
      </c>
      <c r="I144" t="s">
        <v>522</v>
      </c>
      <c r="J144" t="str">
        <f t="shared" si="14"/>
        <v>&lt;G1P&gt;`     Hug</v>
      </c>
    </row>
    <row r="145" spans="1:10" x14ac:dyDescent="0.25">
      <c r="A145" s="47">
        <v>2093</v>
      </c>
      <c r="B145" s="37" t="s">
        <v>786</v>
      </c>
      <c r="C145" t="s">
        <v>16</v>
      </c>
      <c r="D145" t="s">
        <v>318</v>
      </c>
      <c r="F145" t="s">
        <v>326</v>
      </c>
      <c r="G145">
        <f t="shared" si="12"/>
        <v>2093</v>
      </c>
      <c r="H145" t="str">
        <f t="shared" si="13"/>
        <v>`     Install</v>
      </c>
      <c r="I145" t="s">
        <v>522</v>
      </c>
      <c r="J145" t="str">
        <f t="shared" si="14"/>
        <v>&lt;G1P&gt;`     Install</v>
      </c>
    </row>
    <row r="146" spans="1:10" x14ac:dyDescent="0.25">
      <c r="A146" s="47">
        <v>2097</v>
      </c>
      <c r="B146" s="37" t="s">
        <v>787</v>
      </c>
      <c r="C146" t="s">
        <v>16</v>
      </c>
      <c r="D146" t="s">
        <v>318</v>
      </c>
      <c r="F146" t="s">
        <v>326</v>
      </c>
      <c r="G146">
        <f t="shared" si="12"/>
        <v>2097</v>
      </c>
      <c r="H146" t="str">
        <f t="shared" si="13"/>
        <v>`     Nice</v>
      </c>
      <c r="I146" t="s">
        <v>522</v>
      </c>
      <c r="J146" t="str">
        <f t="shared" si="14"/>
        <v>&lt;G1P&gt;`     Nice</v>
      </c>
    </row>
    <row r="147" spans="1:10" x14ac:dyDescent="0.25">
      <c r="A147" s="47">
        <v>2110</v>
      </c>
      <c r="B147" s="37" t="s">
        <v>788</v>
      </c>
      <c r="C147" t="s">
        <v>16</v>
      </c>
      <c r="D147" t="s">
        <v>318</v>
      </c>
      <c r="F147" t="s">
        <v>326</v>
      </c>
      <c r="G147">
        <f t="shared" si="12"/>
        <v>2110</v>
      </c>
      <c r="H147" t="str">
        <f t="shared" si="13"/>
        <v>`     `"May kaya`"</v>
      </c>
      <c r="I147" t="s">
        <v>522</v>
      </c>
      <c r="J147" t="str">
        <f t="shared" si="14"/>
        <v>&lt;G1P&gt;`     `"May kaya`"</v>
      </c>
    </row>
    <row r="148" spans="1:10" x14ac:dyDescent="0.25">
      <c r="A148" s="47">
        <v>2111</v>
      </c>
      <c r="B148" s="37" t="s">
        <v>789</v>
      </c>
      <c r="C148" t="s">
        <v>16</v>
      </c>
      <c r="D148" t="s">
        <v>318</v>
      </c>
      <c r="F148" t="s">
        <v>326</v>
      </c>
      <c r="G148">
        <f t="shared" si="12"/>
        <v>2111</v>
      </c>
      <c r="H148" t="str">
        <f t="shared" si="13"/>
        <v>`     Someone being afraid</v>
      </c>
      <c r="I148" t="s">
        <v>522</v>
      </c>
      <c r="J148" t="str">
        <f t="shared" si="14"/>
        <v>&lt;G1P&gt;`     Someone being afraid</v>
      </c>
    </row>
    <row r="149" spans="1:10" x14ac:dyDescent="0.25">
      <c r="A149" s="47">
        <v>2115</v>
      </c>
      <c r="B149" s="37" t="s">
        <v>790</v>
      </c>
      <c r="C149" t="s">
        <v>16</v>
      </c>
      <c r="D149" t="s">
        <v>318</v>
      </c>
      <c r="F149" t="s">
        <v>326</v>
      </c>
      <c r="G149">
        <f t="shared" si="12"/>
        <v>2115</v>
      </c>
      <c r="H149" t="str">
        <f t="shared" si="13"/>
        <v>`     Missing someone</v>
      </c>
      <c r="I149" t="s">
        <v>522</v>
      </c>
      <c r="J149" t="str">
        <f t="shared" si="14"/>
        <v>&lt;G1P&gt;`     Missing someone</v>
      </c>
    </row>
    <row r="150" spans="1:10" x14ac:dyDescent="0.25">
      <c r="A150" s="47">
        <v>2116</v>
      </c>
      <c r="B150" s="37" t="s">
        <v>791</v>
      </c>
      <c r="C150" t="s">
        <v>16</v>
      </c>
      <c r="D150" t="s">
        <v>318</v>
      </c>
      <c r="F150" t="s">
        <v>326</v>
      </c>
      <c r="G150">
        <f t="shared" si="12"/>
        <v>2116</v>
      </c>
      <c r="H150" t="str">
        <f t="shared" si="13"/>
        <v>`     Helping easch other</v>
      </c>
      <c r="I150" t="s">
        <v>522</v>
      </c>
      <c r="J150" t="str">
        <f t="shared" si="14"/>
        <v>&lt;G1P&gt;`     Helping easch other</v>
      </c>
    </row>
    <row r="151" spans="1:10" x14ac:dyDescent="0.25">
      <c r="A151" s="47">
        <v>2117</v>
      </c>
      <c r="B151" s="37" t="s">
        <v>792</v>
      </c>
      <c r="C151" t="s">
        <v>16</v>
      </c>
      <c r="D151" t="s">
        <v>318</v>
      </c>
      <c r="F151" t="s">
        <v>326</v>
      </c>
      <c r="G151">
        <f t="shared" si="12"/>
        <v>2117</v>
      </c>
      <c r="H151" t="str">
        <f t="shared" si="13"/>
        <v>`     In shock</v>
      </c>
      <c r="I151" t="s">
        <v>522</v>
      </c>
      <c r="J151" t="str">
        <f t="shared" si="14"/>
        <v>&lt;G1P&gt;`     In shock</v>
      </c>
    </row>
    <row r="152" spans="1:10" x14ac:dyDescent="0.25">
      <c r="A152" s="47">
        <v>2118</v>
      </c>
      <c r="B152" s="37" t="s">
        <v>793</v>
      </c>
      <c r="C152" t="s">
        <v>16</v>
      </c>
      <c r="D152" t="s">
        <v>318</v>
      </c>
      <c r="F152" t="s">
        <v>326</v>
      </c>
      <c r="G152">
        <f t="shared" si="12"/>
        <v>2118</v>
      </c>
      <c r="H152" t="str">
        <f t="shared" si="13"/>
        <v>`     Playing</v>
      </c>
      <c r="I152" t="s">
        <v>522</v>
      </c>
      <c r="J152" t="str">
        <f t="shared" si="14"/>
        <v>&lt;G1P&gt;`     Playing</v>
      </c>
    </row>
    <row r="153" spans="1:10" x14ac:dyDescent="0.25">
      <c r="A153" s="47">
        <v>2119</v>
      </c>
      <c r="B153" s="37" t="s">
        <v>794</v>
      </c>
      <c r="C153" t="s">
        <v>16</v>
      </c>
      <c r="D153" t="s">
        <v>318</v>
      </c>
      <c r="F153" t="s">
        <v>326</v>
      </c>
      <c r="G153">
        <f t="shared" si="12"/>
        <v>2119</v>
      </c>
      <c r="H153" t="str">
        <f t="shared" si="13"/>
        <v>`     In shock because of GCash</v>
      </c>
      <c r="I153" t="s">
        <v>522</v>
      </c>
      <c r="J153" t="str">
        <f t="shared" si="14"/>
        <v>&lt;G1P&gt;`     In shock because of GCash</v>
      </c>
    </row>
    <row r="154" spans="1:10" x14ac:dyDescent="0.25">
      <c r="A154" s="47">
        <v>2126</v>
      </c>
      <c r="B154" s="37" t="s">
        <v>795</v>
      </c>
      <c r="C154" t="s">
        <v>16</v>
      </c>
      <c r="D154" t="s">
        <v>318</v>
      </c>
      <c r="F154" t="s">
        <v>326</v>
      </c>
      <c r="G154">
        <f t="shared" si="12"/>
        <v>2126</v>
      </c>
      <c r="H154" t="str">
        <f t="shared" si="13"/>
        <v>`     Enjoyed using e-wallet</v>
      </c>
      <c r="I154" t="s">
        <v>521</v>
      </c>
      <c r="J154" t="str">
        <f t="shared" si="14"/>
        <v>&lt;G2E&gt;&lt;G1P&gt;`     Enjoyed using e-wallet</v>
      </c>
    </row>
    <row r="155" spans="1:10" x14ac:dyDescent="0.25">
      <c r="A155" s="47">
        <v>9994</v>
      </c>
      <c r="B155" s="37" t="s">
        <v>796</v>
      </c>
      <c r="G155">
        <f t="shared" si="12"/>
        <v>9994</v>
      </c>
      <c r="H155" t="str">
        <f t="shared" si="13"/>
        <v>No comment</v>
      </c>
      <c r="J155" t="str">
        <f t="shared" si="14"/>
        <v>No comment</v>
      </c>
    </row>
    <row r="156" spans="1:10" x14ac:dyDescent="0.25">
      <c r="A156" s="47">
        <v>9996</v>
      </c>
      <c r="B156" s="37" t="s">
        <v>302</v>
      </c>
      <c r="G156">
        <f t="shared" si="12"/>
        <v>9996</v>
      </c>
      <c r="H156" t="str">
        <f t="shared" si="13"/>
        <v>Can't say</v>
      </c>
      <c r="J156" t="str">
        <f t="shared" si="14"/>
        <v>Can't say</v>
      </c>
    </row>
    <row r="157" spans="1:10" x14ac:dyDescent="0.25">
      <c r="A157" s="47">
        <v>9997</v>
      </c>
      <c r="B157" s="37" t="s">
        <v>336</v>
      </c>
      <c r="G157">
        <f t="shared" si="12"/>
        <v>9997</v>
      </c>
      <c r="H157" t="str">
        <f t="shared" si="13"/>
        <v>Don't know</v>
      </c>
      <c r="J157" t="str">
        <f t="shared" si="14"/>
        <v>Don't know</v>
      </c>
    </row>
    <row r="158" spans="1:10" x14ac:dyDescent="0.25">
      <c r="A158" s="47">
        <v>9998</v>
      </c>
      <c r="B158" s="37" t="s">
        <v>797</v>
      </c>
      <c r="G158">
        <f t="shared" si="12"/>
        <v>9998</v>
      </c>
      <c r="H158" t="str">
        <f t="shared" si="13"/>
        <v>No idea</v>
      </c>
      <c r="J158" t="str">
        <f t="shared" si="14"/>
        <v>No idea</v>
      </c>
    </row>
    <row r="159" spans="1:10" x14ac:dyDescent="0.25">
      <c r="A159" s="47">
        <v>9999</v>
      </c>
      <c r="B159" s="37" t="s">
        <v>303</v>
      </c>
      <c r="G159">
        <f t="shared" si="12"/>
        <v>9999</v>
      </c>
      <c r="H159" t="str">
        <f t="shared" si="13"/>
        <v>None</v>
      </c>
      <c r="J159" t="str">
        <f t="shared" si="14"/>
        <v>None</v>
      </c>
    </row>
  </sheetData>
  <autoFilter ref="A1:C159" xr:uid="{E5196800-AD75-4ED1-9729-815BC87411C6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E1F5D-FD04-4292-9A18-7709B627655B}">
  <dimension ref="A1:J37"/>
  <sheetViews>
    <sheetView workbookViewId="0">
      <selection activeCell="H37" sqref="G1:H37"/>
    </sheetView>
  </sheetViews>
  <sheetFormatPr defaultRowHeight="15" x14ac:dyDescent="0.25"/>
  <cols>
    <col min="1" max="1" width="22.140625" customWidth="1"/>
    <col min="2" max="2" width="51" customWidth="1"/>
  </cols>
  <sheetData>
    <row r="1" spans="1:10" x14ac:dyDescent="0.25">
      <c r="A1" s="91" t="s">
        <v>533</v>
      </c>
      <c r="B1" s="48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J1" t="s">
        <v>537</v>
      </c>
    </row>
    <row r="2" spans="1:10" ht="28.5" x14ac:dyDescent="0.25">
      <c r="A2" s="96">
        <v>1</v>
      </c>
      <c r="B2" s="50" t="s">
        <v>610</v>
      </c>
      <c r="G2">
        <f t="shared" ref="G2:G37" si="0">IF(A2="","",A2)</f>
        <v>1</v>
      </c>
      <c r="H2" t="str">
        <f t="shared" ref="H2:H37" si="1">_xlfn.CONCAT(D2,SUBSTITUTE(B2,"""","`"""),E2)</f>
        <v>Ads while browsing internet/Website ads (excluding social media) (Please specify site)</v>
      </c>
      <c r="J2" t="str">
        <f t="shared" ref="J2:J37" si="2">_xlfn.CONCAT(I2,H2)</f>
        <v>Ads while browsing internet/Website ads (excluding social media) (Please specify site)</v>
      </c>
    </row>
    <row r="3" spans="1:10" x14ac:dyDescent="0.25">
      <c r="A3" s="97">
        <v>2</v>
      </c>
      <c r="B3" s="50" t="s">
        <v>611</v>
      </c>
      <c r="G3">
        <f t="shared" si="0"/>
        <v>2</v>
      </c>
      <c r="H3" t="str">
        <f t="shared" si="1"/>
        <v xml:space="preserve">Company Website (Official Website)       </v>
      </c>
      <c r="J3" t="str">
        <f t="shared" si="2"/>
        <v xml:space="preserve">Company Website (Official Website)       </v>
      </c>
    </row>
    <row r="4" spans="1:10" x14ac:dyDescent="0.25">
      <c r="A4" s="97">
        <v>4</v>
      </c>
      <c r="B4" s="50" t="s">
        <v>612</v>
      </c>
      <c r="G4">
        <f t="shared" si="0"/>
        <v>4</v>
      </c>
      <c r="H4" t="str">
        <f t="shared" si="1"/>
        <v xml:space="preserve">Events    </v>
      </c>
      <c r="J4" t="str">
        <f t="shared" si="2"/>
        <v xml:space="preserve">Events    </v>
      </c>
    </row>
    <row r="5" spans="1:10" x14ac:dyDescent="0.25">
      <c r="A5" s="97">
        <v>5</v>
      </c>
      <c r="B5" s="50" t="s">
        <v>613</v>
      </c>
      <c r="G5">
        <f t="shared" si="0"/>
        <v>5</v>
      </c>
      <c r="H5" t="str">
        <f t="shared" si="1"/>
        <v xml:space="preserve">Family/relatives       </v>
      </c>
      <c r="J5" t="str">
        <f t="shared" si="2"/>
        <v xml:space="preserve">Family/relatives       </v>
      </c>
    </row>
    <row r="6" spans="1:10" x14ac:dyDescent="0.25">
      <c r="A6" s="98" t="s">
        <v>814</v>
      </c>
      <c r="B6" s="50" t="s">
        <v>615</v>
      </c>
      <c r="G6" t="str">
        <f t="shared" si="0"/>
        <v>6+1034</v>
      </c>
      <c r="H6" t="str">
        <f t="shared" si="1"/>
        <v xml:space="preserve">Friends/colleagues       </v>
      </c>
      <c r="J6" t="str">
        <f t="shared" si="2"/>
        <v xml:space="preserve">Friends/colleagues       </v>
      </c>
    </row>
    <row r="7" spans="1:10" x14ac:dyDescent="0.25">
      <c r="A7" s="97">
        <v>7</v>
      </c>
      <c r="B7" s="50" t="s">
        <v>616</v>
      </c>
      <c r="G7">
        <f t="shared" si="0"/>
        <v>7</v>
      </c>
      <c r="H7" t="str">
        <f t="shared" si="1"/>
        <v xml:space="preserve">Online articles (blogs, reviews, news) </v>
      </c>
      <c r="J7" t="str">
        <f t="shared" si="2"/>
        <v xml:space="preserve">Online articles (blogs, reviews, news) </v>
      </c>
    </row>
    <row r="8" spans="1:10" x14ac:dyDescent="0.25">
      <c r="A8" s="97">
        <v>8</v>
      </c>
      <c r="B8" s="50" t="s">
        <v>635</v>
      </c>
      <c r="G8">
        <f t="shared" si="0"/>
        <v>8</v>
      </c>
      <c r="H8" t="str">
        <f t="shared" si="1"/>
        <v xml:space="preserve">Online videos (including ads) </v>
      </c>
      <c r="J8" t="str">
        <f t="shared" si="2"/>
        <v xml:space="preserve">Online videos (including ads) </v>
      </c>
    </row>
    <row r="9" spans="1:10" x14ac:dyDescent="0.25">
      <c r="A9" s="97" t="s">
        <v>815</v>
      </c>
      <c r="B9" s="50" t="s">
        <v>636</v>
      </c>
      <c r="G9" t="str">
        <f t="shared" si="0"/>
        <v>10+1026</v>
      </c>
      <c r="H9" t="str">
        <f t="shared" si="1"/>
        <v xml:space="preserve">Social media (including ads) (NET) (HIDE) </v>
      </c>
      <c r="J9" t="str">
        <f t="shared" si="2"/>
        <v xml:space="preserve">Social media (including ads) (NET) (HIDE) </v>
      </c>
    </row>
    <row r="10" spans="1:10" x14ac:dyDescent="0.25">
      <c r="A10" s="98" t="s">
        <v>816</v>
      </c>
      <c r="B10" s="50" t="s">
        <v>637</v>
      </c>
      <c r="G10" t="str">
        <f t="shared" si="0"/>
        <v>11+2003+1035</v>
      </c>
      <c r="H10" t="str">
        <f t="shared" si="1"/>
        <v>Facebook (including ads) (HIDE)</v>
      </c>
      <c r="J10" t="str">
        <f t="shared" si="2"/>
        <v>Facebook (including ads) (HIDE)</v>
      </c>
    </row>
    <row r="11" spans="1:10" x14ac:dyDescent="0.25">
      <c r="A11" s="97">
        <v>12</v>
      </c>
      <c r="B11" s="50" t="s">
        <v>638</v>
      </c>
      <c r="G11">
        <f t="shared" si="0"/>
        <v>12</v>
      </c>
      <c r="H11" t="str">
        <f t="shared" si="1"/>
        <v>Facebook Post</v>
      </c>
      <c r="J11" t="str">
        <f t="shared" si="2"/>
        <v>Facebook Post</v>
      </c>
    </row>
    <row r="12" spans="1:10" x14ac:dyDescent="0.25">
      <c r="A12" s="97">
        <v>13</v>
      </c>
      <c r="B12" s="50" t="s">
        <v>618</v>
      </c>
      <c r="G12">
        <f t="shared" si="0"/>
        <v>13</v>
      </c>
      <c r="H12" t="str">
        <f t="shared" si="1"/>
        <v>Facebook Fanpage</v>
      </c>
      <c r="J12" t="str">
        <f t="shared" si="2"/>
        <v>Facebook Fanpage</v>
      </c>
    </row>
    <row r="13" spans="1:10" x14ac:dyDescent="0.25">
      <c r="A13" s="97">
        <v>14</v>
      </c>
      <c r="B13" s="50" t="s">
        <v>619</v>
      </c>
      <c r="G13">
        <f t="shared" si="0"/>
        <v>14</v>
      </c>
      <c r="H13" t="str">
        <f t="shared" si="1"/>
        <v xml:space="preserve">Twitter (including ads)  </v>
      </c>
      <c r="J13" t="str">
        <f t="shared" si="2"/>
        <v xml:space="preserve">Twitter (including ads)  </v>
      </c>
    </row>
    <row r="14" spans="1:10" x14ac:dyDescent="0.25">
      <c r="A14" s="97">
        <v>14</v>
      </c>
      <c r="B14" s="50" t="s">
        <v>620</v>
      </c>
      <c r="G14">
        <f t="shared" si="0"/>
        <v>14</v>
      </c>
      <c r="H14" t="str">
        <f t="shared" si="1"/>
        <v xml:space="preserve">Instagram (including ads)  </v>
      </c>
      <c r="J14" t="str">
        <f t="shared" si="2"/>
        <v xml:space="preserve">Instagram (including ads)  </v>
      </c>
    </row>
    <row r="15" spans="1:10" x14ac:dyDescent="0.25">
      <c r="A15" s="97" t="s">
        <v>817</v>
      </c>
      <c r="B15" s="50" t="s">
        <v>622</v>
      </c>
      <c r="G15" t="str">
        <f t="shared" si="0"/>
        <v>16+2004+1025</v>
      </c>
      <c r="H15" t="str">
        <f t="shared" si="1"/>
        <v xml:space="preserve">YouTube (including ads) </v>
      </c>
      <c r="J15" t="str">
        <f t="shared" si="2"/>
        <v xml:space="preserve">YouTube (including ads) </v>
      </c>
    </row>
    <row r="16" spans="1:10" x14ac:dyDescent="0.25">
      <c r="A16" s="99" t="s">
        <v>818</v>
      </c>
      <c r="B16" s="88" t="s">
        <v>624</v>
      </c>
      <c r="G16" t="str">
        <f t="shared" si="0"/>
        <v>17+1031+2007</v>
      </c>
      <c r="H16" t="str">
        <f t="shared" si="1"/>
        <v>TikTok (including ads)</v>
      </c>
      <c r="J16" t="str">
        <f t="shared" si="2"/>
        <v>TikTok (including ads)</v>
      </c>
    </row>
    <row r="17" spans="1:10" x14ac:dyDescent="0.25">
      <c r="A17" s="51" t="s">
        <v>819</v>
      </c>
      <c r="B17" s="89" t="s">
        <v>820</v>
      </c>
      <c r="G17" t="str">
        <f t="shared" si="0"/>
        <v>18+1030</v>
      </c>
      <c r="H17" t="str">
        <f t="shared" si="1"/>
        <v>Out-of-Home (OOH) (e.g., billboards and posters)</v>
      </c>
      <c r="J17" t="str">
        <f t="shared" si="2"/>
        <v>Out-of-Home (OOH) (e.g., billboards and posters)</v>
      </c>
    </row>
    <row r="18" spans="1:10" x14ac:dyDescent="0.25">
      <c r="A18" s="51">
        <v>19</v>
      </c>
      <c r="B18" s="50" t="s">
        <v>626</v>
      </c>
      <c r="G18">
        <f t="shared" si="0"/>
        <v>19</v>
      </c>
      <c r="H18" t="str">
        <f t="shared" si="1"/>
        <v>Influencers</v>
      </c>
      <c r="J18" t="str">
        <f t="shared" si="2"/>
        <v>Influencers</v>
      </c>
    </row>
    <row r="19" spans="1:10" x14ac:dyDescent="0.25">
      <c r="A19" s="51" t="s">
        <v>821</v>
      </c>
      <c r="B19" s="89" t="s">
        <v>464</v>
      </c>
      <c r="G19" t="str">
        <f t="shared" si="0"/>
        <v>20+1020+2005</v>
      </c>
      <c r="H19" t="str">
        <f t="shared" si="1"/>
        <v>TV</v>
      </c>
      <c r="J19" t="str">
        <f t="shared" si="2"/>
        <v>TV</v>
      </c>
    </row>
    <row r="20" spans="1:10" x14ac:dyDescent="0.25">
      <c r="A20" s="51">
        <v>21</v>
      </c>
      <c r="B20" s="90" t="s">
        <v>822</v>
      </c>
      <c r="G20">
        <f t="shared" si="0"/>
        <v>21</v>
      </c>
      <c r="H20" t="str">
        <f t="shared" si="1"/>
        <v>App Stores</v>
      </c>
      <c r="J20" t="str">
        <f t="shared" si="2"/>
        <v>App Stores</v>
      </c>
    </row>
    <row r="21" spans="1:10" x14ac:dyDescent="0.25">
      <c r="A21" s="51">
        <v>22</v>
      </c>
      <c r="B21" s="90" t="s">
        <v>628</v>
      </c>
      <c r="G21">
        <f t="shared" si="0"/>
        <v>22</v>
      </c>
      <c r="H21" t="str">
        <f t="shared" si="1"/>
        <v>Radio/Radio Commercials</v>
      </c>
      <c r="J21" t="str">
        <f t="shared" si="2"/>
        <v>Radio/Radio Commercials</v>
      </c>
    </row>
    <row r="22" spans="1:10" ht="30" x14ac:dyDescent="0.25">
      <c r="A22" s="94" t="s">
        <v>830</v>
      </c>
      <c r="B22" s="92" t="s">
        <v>823</v>
      </c>
      <c r="C22" t="s">
        <v>6</v>
      </c>
      <c r="D22" t="s">
        <v>323</v>
      </c>
      <c r="E22" t="s">
        <v>322</v>
      </c>
      <c r="F22" t="s">
        <v>327</v>
      </c>
      <c r="G22" t="str">
        <f t="shared" si="0"/>
        <v>2001+2002+2006</v>
      </c>
      <c r="H22" t="str">
        <f t="shared" si="1"/>
        <v>`ADS WHILE BROWSING INTERNET/WEBSITE ADS (EXCLUDING SOCIAL MEDIA) (NET)&lt;Q&gt;</v>
      </c>
      <c r="J22" t="str">
        <f t="shared" si="2"/>
        <v>`ADS WHILE BROWSING INTERNET/WEBSITE ADS (EXCLUDING SOCIAL MEDIA) (NET)&lt;Q&gt;</v>
      </c>
    </row>
    <row r="23" spans="1:10" x14ac:dyDescent="0.25">
      <c r="A23" s="16">
        <v>2001</v>
      </c>
      <c r="B23" s="71" t="s">
        <v>824</v>
      </c>
      <c r="C23" t="s">
        <v>16</v>
      </c>
      <c r="D23" t="s">
        <v>318</v>
      </c>
      <c r="F23" t="s">
        <v>326</v>
      </c>
      <c r="G23">
        <f t="shared" si="0"/>
        <v>2001</v>
      </c>
      <c r="H23" t="str">
        <f t="shared" si="1"/>
        <v>`     Gcash App</v>
      </c>
      <c r="J23" t="str">
        <f t="shared" si="2"/>
        <v>`     Gcash App</v>
      </c>
    </row>
    <row r="24" spans="1:10" x14ac:dyDescent="0.25">
      <c r="A24" s="16">
        <v>2002</v>
      </c>
      <c r="B24" s="71" t="s">
        <v>825</v>
      </c>
      <c r="C24" t="s">
        <v>16</v>
      </c>
      <c r="D24" t="s">
        <v>318</v>
      </c>
      <c r="F24" t="s">
        <v>326</v>
      </c>
      <c r="G24">
        <f t="shared" si="0"/>
        <v>2002</v>
      </c>
      <c r="H24" t="str">
        <f t="shared" si="1"/>
        <v>`     On app</v>
      </c>
      <c r="J24" t="str">
        <f t="shared" si="2"/>
        <v>`     On app</v>
      </c>
    </row>
    <row r="25" spans="1:10" x14ac:dyDescent="0.25">
      <c r="A25" s="16">
        <v>2006</v>
      </c>
      <c r="B25" s="71" t="s">
        <v>826</v>
      </c>
      <c r="C25" t="s">
        <v>16</v>
      </c>
      <c r="D25" t="s">
        <v>318</v>
      </c>
      <c r="F25" t="s">
        <v>326</v>
      </c>
      <c r="G25">
        <f t="shared" si="0"/>
        <v>2006</v>
      </c>
      <c r="H25" t="str">
        <f t="shared" si="1"/>
        <v>`     Google ads</v>
      </c>
      <c r="J25" t="str">
        <f t="shared" si="2"/>
        <v>`     Google ads</v>
      </c>
    </row>
    <row r="26" spans="1:10" ht="30" x14ac:dyDescent="0.25">
      <c r="A26" s="100" t="s">
        <v>831</v>
      </c>
      <c r="B26" s="92" t="s">
        <v>332</v>
      </c>
      <c r="C26" t="s">
        <v>6</v>
      </c>
      <c r="D26" t="s">
        <v>323</v>
      </c>
      <c r="E26" t="s">
        <v>322</v>
      </c>
      <c r="F26" t="s">
        <v>327</v>
      </c>
      <c r="G26" t="str">
        <f t="shared" si="0"/>
        <v>1021+1022+1024+1027+1029+1032+1033</v>
      </c>
      <c r="H26" t="str">
        <f t="shared" si="1"/>
        <v>`OTHERS (NET)&lt;Q&gt;</v>
      </c>
      <c r="J26" t="str">
        <f t="shared" si="2"/>
        <v>`OTHERS (NET)&lt;Q&gt;</v>
      </c>
    </row>
    <row r="27" spans="1:10" x14ac:dyDescent="0.25">
      <c r="A27" s="16">
        <v>1021</v>
      </c>
      <c r="B27" s="71" t="s">
        <v>824</v>
      </c>
      <c r="C27" t="s">
        <v>16</v>
      </c>
      <c r="D27" t="s">
        <v>318</v>
      </c>
      <c r="F27" t="s">
        <v>326</v>
      </c>
      <c r="G27">
        <f t="shared" si="0"/>
        <v>1021</v>
      </c>
      <c r="H27" t="str">
        <f t="shared" si="1"/>
        <v>`     Gcash App</v>
      </c>
      <c r="J27" t="str">
        <f t="shared" si="2"/>
        <v>`     Gcash App</v>
      </c>
    </row>
    <row r="28" spans="1:10" x14ac:dyDescent="0.25">
      <c r="A28" s="16">
        <v>1022</v>
      </c>
      <c r="B28" s="71" t="s">
        <v>825</v>
      </c>
      <c r="C28" t="s">
        <v>16</v>
      </c>
      <c r="D28" t="s">
        <v>318</v>
      </c>
      <c r="F28" t="s">
        <v>326</v>
      </c>
      <c r="G28">
        <f t="shared" si="0"/>
        <v>1022</v>
      </c>
      <c r="H28" t="str">
        <f t="shared" si="1"/>
        <v>`     On app</v>
      </c>
      <c r="J28" t="str">
        <f t="shared" si="2"/>
        <v>`     On app</v>
      </c>
    </row>
    <row r="29" spans="1:10" x14ac:dyDescent="0.25">
      <c r="A29" s="16">
        <v>1024</v>
      </c>
      <c r="B29" s="71" t="s">
        <v>632</v>
      </c>
      <c r="C29" t="s">
        <v>16</v>
      </c>
      <c r="D29" t="s">
        <v>318</v>
      </c>
      <c r="F29" t="s">
        <v>326</v>
      </c>
      <c r="G29">
        <f t="shared" si="0"/>
        <v>1024</v>
      </c>
      <c r="H29" t="str">
        <f t="shared" si="1"/>
        <v>`     Radio</v>
      </c>
      <c r="J29" t="str">
        <f t="shared" si="2"/>
        <v>`     Radio</v>
      </c>
    </row>
    <row r="30" spans="1:10" x14ac:dyDescent="0.25">
      <c r="A30" s="16">
        <v>1027</v>
      </c>
      <c r="B30" s="53" t="s">
        <v>827</v>
      </c>
      <c r="C30" t="s">
        <v>16</v>
      </c>
      <c r="D30" t="s">
        <v>318</v>
      </c>
      <c r="F30" t="s">
        <v>326</v>
      </c>
      <c r="G30">
        <f t="shared" si="0"/>
        <v>1027</v>
      </c>
      <c r="H30" t="str">
        <f t="shared" si="1"/>
        <v>`     Avon Outlet</v>
      </c>
      <c r="J30" t="str">
        <f t="shared" si="2"/>
        <v>`     Avon Outlet</v>
      </c>
    </row>
    <row r="31" spans="1:10" x14ac:dyDescent="0.25">
      <c r="A31" s="16">
        <v>1029</v>
      </c>
      <c r="B31" s="53" t="s">
        <v>458</v>
      </c>
      <c r="C31" t="s">
        <v>16</v>
      </c>
      <c r="D31" t="s">
        <v>318</v>
      </c>
      <c r="F31" t="s">
        <v>326</v>
      </c>
      <c r="G31">
        <f t="shared" si="0"/>
        <v>1029</v>
      </c>
      <c r="H31" t="str">
        <f t="shared" si="1"/>
        <v>`     Shopee</v>
      </c>
      <c r="J31" t="str">
        <f t="shared" si="2"/>
        <v>`     Shopee</v>
      </c>
    </row>
    <row r="32" spans="1:10" x14ac:dyDescent="0.25">
      <c r="A32" s="16">
        <v>1032</v>
      </c>
      <c r="B32" s="53" t="s">
        <v>828</v>
      </c>
      <c r="C32" t="s">
        <v>16</v>
      </c>
      <c r="D32" t="s">
        <v>318</v>
      </c>
      <c r="F32" t="s">
        <v>326</v>
      </c>
      <c r="G32">
        <f t="shared" si="0"/>
        <v>1032</v>
      </c>
      <c r="H32" t="str">
        <f t="shared" si="1"/>
        <v>`     Watson</v>
      </c>
      <c r="J32" t="str">
        <f t="shared" si="2"/>
        <v>`     Watson</v>
      </c>
    </row>
    <row r="33" spans="1:10" x14ac:dyDescent="0.25">
      <c r="A33" s="25">
        <v>1033</v>
      </c>
      <c r="B33" s="93" t="s">
        <v>688</v>
      </c>
      <c r="C33" t="s">
        <v>16</v>
      </c>
      <c r="D33" t="s">
        <v>318</v>
      </c>
      <c r="F33" t="s">
        <v>326</v>
      </c>
      <c r="G33">
        <f t="shared" si="0"/>
        <v>1033</v>
      </c>
      <c r="H33" t="str">
        <f t="shared" si="1"/>
        <v>`     Games</v>
      </c>
      <c r="J33" t="str">
        <f t="shared" si="2"/>
        <v>`     Games</v>
      </c>
    </row>
    <row r="34" spans="1:10" x14ac:dyDescent="0.25">
      <c r="A34" s="94" t="s">
        <v>829</v>
      </c>
      <c r="B34" s="95" t="s">
        <v>331</v>
      </c>
      <c r="C34" t="s">
        <v>6</v>
      </c>
      <c r="D34" t="s">
        <v>323</v>
      </c>
      <c r="E34" t="s">
        <v>322</v>
      </c>
      <c r="F34" t="s">
        <v>327</v>
      </c>
      <c r="G34" t="str">
        <f t="shared" si="0"/>
        <v>1023+1028</v>
      </c>
      <c r="H34" t="str">
        <f t="shared" si="1"/>
        <v>`VAGUE (NET)&lt;Q&gt;</v>
      </c>
      <c r="J34" t="str">
        <f t="shared" si="2"/>
        <v>`VAGUE (NET)&lt;Q&gt;</v>
      </c>
    </row>
    <row r="35" spans="1:10" x14ac:dyDescent="0.25">
      <c r="A35" s="16" t="s">
        <v>829</v>
      </c>
      <c r="B35" s="71" t="s">
        <v>645</v>
      </c>
      <c r="C35" t="s">
        <v>16</v>
      </c>
      <c r="D35" t="s">
        <v>318</v>
      </c>
      <c r="F35" t="s">
        <v>326</v>
      </c>
      <c r="G35" t="str">
        <f t="shared" si="0"/>
        <v>1023+1028</v>
      </c>
      <c r="H35" t="str">
        <f t="shared" si="1"/>
        <v>`     Tablet</v>
      </c>
      <c r="J35" t="str">
        <f t="shared" si="2"/>
        <v>`     Tablet</v>
      </c>
    </row>
    <row r="36" spans="1:10" x14ac:dyDescent="0.25">
      <c r="A36" s="16">
        <v>9997</v>
      </c>
      <c r="B36" s="71" t="s">
        <v>797</v>
      </c>
      <c r="G36">
        <f t="shared" si="0"/>
        <v>9997</v>
      </c>
      <c r="H36" t="str">
        <f t="shared" si="1"/>
        <v>No idea</v>
      </c>
      <c r="J36" t="str">
        <f t="shared" si="2"/>
        <v>No idea</v>
      </c>
    </row>
    <row r="37" spans="1:10" x14ac:dyDescent="0.25">
      <c r="A37" s="16">
        <v>9999</v>
      </c>
      <c r="B37" s="71" t="s">
        <v>303</v>
      </c>
      <c r="G37">
        <f t="shared" si="0"/>
        <v>9999</v>
      </c>
      <c r="H37" t="str">
        <f t="shared" si="1"/>
        <v>None</v>
      </c>
      <c r="J37" t="str">
        <f t="shared" si="2"/>
        <v>None</v>
      </c>
    </row>
  </sheetData>
  <conditionalFormatting sqref="A34">
    <cfRule type="duplicateValues" dxfId="103" priority="5"/>
    <cfRule type="duplicateValues" dxfId="102" priority="6"/>
  </conditionalFormatting>
  <conditionalFormatting sqref="A36:A37">
    <cfRule type="duplicateValues" dxfId="101" priority="3"/>
  </conditionalFormatting>
  <conditionalFormatting sqref="A36:B36">
    <cfRule type="duplicateValues" dxfId="100" priority="2"/>
  </conditionalFormatting>
  <conditionalFormatting sqref="A37:B37">
    <cfRule type="duplicateValues" dxfId="99" priority="1"/>
  </conditionalFormatting>
  <conditionalFormatting sqref="B34">
    <cfRule type="duplicateValues" dxfId="98" priority="4"/>
  </conditionalFormatting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F8965-7304-4DC3-BD0A-DCCB012BBFFF}">
  <dimension ref="A1:J123"/>
  <sheetViews>
    <sheetView workbookViewId="0">
      <selection activeCell="I123" sqref="G1:I123"/>
    </sheetView>
  </sheetViews>
  <sheetFormatPr defaultRowHeight="15" x14ac:dyDescent="0.25"/>
  <cols>
    <col min="1" max="1" width="39.140625" customWidth="1"/>
    <col min="2" max="2" width="51.85546875" customWidth="1"/>
    <col min="8" max="8" width="24.7109375" customWidth="1"/>
    <col min="9" max="9" width="32.5703125" customWidth="1"/>
  </cols>
  <sheetData>
    <row r="1" spans="1:10" x14ac:dyDescent="0.25">
      <c r="A1" s="101" t="s">
        <v>533</v>
      </c>
      <c r="B1" s="101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ht="28.5" x14ac:dyDescent="0.25">
      <c r="A2" s="102" t="s">
        <v>933</v>
      </c>
      <c r="B2" s="103" t="s">
        <v>832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33" si="0">IF(A2="","",A2)</f>
        <v>2100+2101+2102+2103+2185+2186+2187+2172+2147+2148+2164+2165</v>
      </c>
      <c r="H2" t="str">
        <f t="shared" ref="H2:H33" si="1">_xlfn.CONCAT(D2,SUBSTITUTE(B2,"""","`"""),E2)</f>
        <v>`FOR ONLINE GAMING (NET)&lt;Q&gt;</v>
      </c>
      <c r="I2" t="s">
        <v>518</v>
      </c>
      <c r="J2" t="str">
        <f t="shared" ref="J2:J33" si="2">_xlfn.CONCAT(I2,H2)</f>
        <v>&lt;G1B&gt;`FOR ONLINE GAMING (NET)&lt;Q&gt;</v>
      </c>
    </row>
    <row r="3" spans="1:10" x14ac:dyDescent="0.25">
      <c r="A3" s="102">
        <v>2100</v>
      </c>
      <c r="B3" s="104" t="s">
        <v>833</v>
      </c>
      <c r="C3" t="s">
        <v>16</v>
      </c>
      <c r="D3" t="s">
        <v>318</v>
      </c>
      <c r="F3" t="s">
        <v>326</v>
      </c>
      <c r="G3">
        <f t="shared" si="0"/>
        <v>2100</v>
      </c>
      <c r="H3" t="str">
        <f t="shared" si="1"/>
        <v>`     Can use GCash for online games</v>
      </c>
      <c r="I3" t="s">
        <v>520</v>
      </c>
      <c r="J3" t="str">
        <f t="shared" si="2"/>
        <v>&lt;G2B&gt;&lt;G1P&gt;`     Can use GCash for online games</v>
      </c>
    </row>
    <row r="4" spans="1:10" x14ac:dyDescent="0.25">
      <c r="A4" s="102">
        <v>2101</v>
      </c>
      <c r="B4" s="104" t="s">
        <v>834</v>
      </c>
      <c r="C4" t="s">
        <v>16</v>
      </c>
      <c r="D4" t="s">
        <v>318</v>
      </c>
      <c r="F4" t="s">
        <v>326</v>
      </c>
      <c r="G4">
        <f t="shared" si="0"/>
        <v>2101</v>
      </c>
      <c r="H4" t="str">
        <f t="shared" si="1"/>
        <v>`     Playing online games using GCash</v>
      </c>
      <c r="I4" t="s">
        <v>522</v>
      </c>
      <c r="J4" t="str">
        <f t="shared" si="2"/>
        <v>&lt;G1P&gt;`     Playing online games using GCash</v>
      </c>
    </row>
    <row r="5" spans="1:10" x14ac:dyDescent="0.25">
      <c r="A5" s="102">
        <v>2102</v>
      </c>
      <c r="B5" s="104" t="s">
        <v>835</v>
      </c>
      <c r="C5" t="s">
        <v>16</v>
      </c>
      <c r="D5" t="s">
        <v>318</v>
      </c>
      <c r="F5" t="s">
        <v>326</v>
      </c>
      <c r="G5">
        <f t="shared" si="0"/>
        <v>2102</v>
      </c>
      <c r="H5" t="str">
        <f t="shared" si="1"/>
        <v>`     Online games</v>
      </c>
      <c r="I5" t="s">
        <v>522</v>
      </c>
      <c r="J5" t="str">
        <f t="shared" si="2"/>
        <v>&lt;G1P&gt;`     Online games</v>
      </c>
    </row>
    <row r="6" spans="1:10" x14ac:dyDescent="0.25">
      <c r="A6" s="102">
        <v>2103</v>
      </c>
      <c r="B6" s="104" t="s">
        <v>836</v>
      </c>
      <c r="C6" t="s">
        <v>16</v>
      </c>
      <c r="D6" t="s">
        <v>318</v>
      </c>
      <c r="F6" t="s">
        <v>326</v>
      </c>
      <c r="G6">
        <f t="shared" si="0"/>
        <v>2103</v>
      </c>
      <c r="H6" t="str">
        <f t="shared" si="1"/>
        <v>`     More comfortable to use the load for gaming</v>
      </c>
      <c r="I6" t="s">
        <v>522</v>
      </c>
      <c r="J6" t="str">
        <f t="shared" si="2"/>
        <v>&lt;G1P&gt;`     More comfortable to use the load for gaming</v>
      </c>
    </row>
    <row r="7" spans="1:10" x14ac:dyDescent="0.25">
      <c r="A7" s="105">
        <v>2185</v>
      </c>
      <c r="B7" s="106" t="s">
        <v>837</v>
      </c>
      <c r="C7" t="s">
        <v>16</v>
      </c>
      <c r="D7" t="s">
        <v>318</v>
      </c>
      <c r="F7" t="s">
        <v>326</v>
      </c>
      <c r="G7">
        <f t="shared" si="0"/>
        <v>2185</v>
      </c>
      <c r="H7" t="str">
        <f t="shared" si="1"/>
        <v>`     Playing games</v>
      </c>
      <c r="I7" t="s">
        <v>522</v>
      </c>
      <c r="J7" t="str">
        <f t="shared" si="2"/>
        <v>&lt;G1P&gt;`     Playing games</v>
      </c>
    </row>
    <row r="8" spans="1:10" x14ac:dyDescent="0.25">
      <c r="A8" s="105">
        <v>2186</v>
      </c>
      <c r="B8" s="106" t="s">
        <v>838</v>
      </c>
      <c r="C8" t="s">
        <v>16</v>
      </c>
      <c r="D8" t="s">
        <v>318</v>
      </c>
      <c r="F8" t="s">
        <v>326</v>
      </c>
      <c r="G8">
        <f t="shared" si="0"/>
        <v>2186</v>
      </c>
      <c r="H8" t="str">
        <f t="shared" si="1"/>
        <v>`     Playing online games</v>
      </c>
      <c r="I8" t="s">
        <v>522</v>
      </c>
      <c r="J8" t="str">
        <f t="shared" si="2"/>
        <v>&lt;G1P&gt;`     Playing online games</v>
      </c>
    </row>
    <row r="9" spans="1:10" x14ac:dyDescent="0.25">
      <c r="A9" s="105">
        <v>2187</v>
      </c>
      <c r="B9" s="106" t="s">
        <v>839</v>
      </c>
      <c r="C9" t="s">
        <v>16</v>
      </c>
      <c r="D9" t="s">
        <v>318</v>
      </c>
      <c r="F9" t="s">
        <v>326</v>
      </c>
      <c r="G9">
        <f t="shared" si="0"/>
        <v>2187</v>
      </c>
      <c r="H9" t="str">
        <f t="shared" si="1"/>
        <v>`     Can buy load for online gaming</v>
      </c>
      <c r="I9" t="s">
        <v>522</v>
      </c>
      <c r="J9" t="str">
        <f t="shared" si="2"/>
        <v>&lt;G1P&gt;`     Can buy load for online gaming</v>
      </c>
    </row>
    <row r="10" spans="1:10" x14ac:dyDescent="0.25">
      <c r="A10" s="107">
        <v>2172</v>
      </c>
      <c r="B10" s="108" t="s">
        <v>840</v>
      </c>
      <c r="C10" t="s">
        <v>16</v>
      </c>
      <c r="D10" t="s">
        <v>318</v>
      </c>
      <c r="F10" t="s">
        <v>326</v>
      </c>
      <c r="G10">
        <f t="shared" si="0"/>
        <v>2172</v>
      </c>
      <c r="H10" t="str">
        <f t="shared" si="1"/>
        <v>`     Happy playing online game</v>
      </c>
      <c r="I10" t="s">
        <v>522</v>
      </c>
      <c r="J10" t="str">
        <f t="shared" si="2"/>
        <v>&lt;G1P&gt;`     Happy playing online game</v>
      </c>
    </row>
    <row r="11" spans="1:10" x14ac:dyDescent="0.25">
      <c r="A11" s="105">
        <v>2147</v>
      </c>
      <c r="B11" s="106" t="s">
        <v>793</v>
      </c>
      <c r="C11" t="s">
        <v>16</v>
      </c>
      <c r="D11" t="s">
        <v>318</v>
      </c>
      <c r="F11" t="s">
        <v>326</v>
      </c>
      <c r="G11">
        <f t="shared" si="0"/>
        <v>2147</v>
      </c>
      <c r="H11" t="str">
        <f t="shared" si="1"/>
        <v>`     Playing</v>
      </c>
      <c r="I11" t="s">
        <v>522</v>
      </c>
      <c r="J11" t="str">
        <f t="shared" si="2"/>
        <v>&lt;G1P&gt;`     Playing</v>
      </c>
    </row>
    <row r="12" spans="1:10" x14ac:dyDescent="0.25">
      <c r="A12" s="105">
        <v>2148</v>
      </c>
      <c r="B12" s="106" t="s">
        <v>841</v>
      </c>
      <c r="C12" t="s">
        <v>16</v>
      </c>
      <c r="D12" t="s">
        <v>318</v>
      </c>
      <c r="F12" t="s">
        <v>326</v>
      </c>
      <c r="G12">
        <f t="shared" si="0"/>
        <v>2148</v>
      </c>
      <c r="H12" t="str">
        <f t="shared" si="1"/>
        <v>`     Playing during break</v>
      </c>
      <c r="I12" t="s">
        <v>522</v>
      </c>
      <c r="J12" t="str">
        <f t="shared" si="2"/>
        <v>&lt;G1P&gt;`     Playing during break</v>
      </c>
    </row>
    <row r="13" spans="1:10" x14ac:dyDescent="0.25">
      <c r="A13" s="105">
        <v>2164</v>
      </c>
      <c r="B13" s="106" t="s">
        <v>842</v>
      </c>
      <c r="C13" t="s">
        <v>16</v>
      </c>
      <c r="D13" t="s">
        <v>318</v>
      </c>
      <c r="F13" t="s">
        <v>326</v>
      </c>
      <c r="G13">
        <f t="shared" si="0"/>
        <v>2164</v>
      </c>
      <c r="H13" t="str">
        <f t="shared" si="1"/>
        <v>`     Playing on cellphone</v>
      </c>
      <c r="I13" t="s">
        <v>522</v>
      </c>
      <c r="J13" t="str">
        <f t="shared" si="2"/>
        <v>&lt;G1P&gt;`     Playing on cellphone</v>
      </c>
    </row>
    <row r="14" spans="1:10" x14ac:dyDescent="0.25">
      <c r="A14" s="105">
        <v>2165</v>
      </c>
      <c r="B14" s="106" t="s">
        <v>843</v>
      </c>
      <c r="C14" t="s">
        <v>16</v>
      </c>
      <c r="D14" t="s">
        <v>318</v>
      </c>
      <c r="F14" t="s">
        <v>326</v>
      </c>
      <c r="G14">
        <f t="shared" si="0"/>
        <v>2165</v>
      </c>
      <c r="H14" t="str">
        <f t="shared" si="1"/>
        <v>`     Playing online games on cellphone</v>
      </c>
      <c r="I14" t="s">
        <v>521</v>
      </c>
      <c r="J14" t="str">
        <f t="shared" si="2"/>
        <v>&lt;G2E&gt;&lt;G1P&gt;`     Playing online games on cellphone</v>
      </c>
    </row>
    <row r="15" spans="1:10" ht="15.75" x14ac:dyDescent="0.25">
      <c r="A15" s="102" t="s">
        <v>934</v>
      </c>
      <c r="B15" s="103" t="s">
        <v>384</v>
      </c>
      <c r="C15" t="s">
        <v>6</v>
      </c>
      <c r="D15" t="s">
        <v>323</v>
      </c>
      <c r="E15" t="s">
        <v>322</v>
      </c>
      <c r="F15" t="s">
        <v>327</v>
      </c>
      <c r="G15" t="str">
        <f t="shared" si="0"/>
        <v>2104+2140+2163</v>
      </c>
      <c r="H15" t="str">
        <f t="shared" si="1"/>
        <v>`CONVENIENCE (NET)&lt;Q&gt;</v>
      </c>
      <c r="J15" t="str">
        <f t="shared" si="2"/>
        <v>`CONVENIENCE (NET)&lt;Q&gt;</v>
      </c>
    </row>
    <row r="16" spans="1:10" ht="28.5" x14ac:dyDescent="0.25">
      <c r="A16" s="102">
        <v>2104</v>
      </c>
      <c r="B16" s="104" t="s">
        <v>844</v>
      </c>
      <c r="C16" t="s">
        <v>16</v>
      </c>
      <c r="D16" t="s">
        <v>318</v>
      </c>
      <c r="F16" t="s">
        <v>326</v>
      </c>
      <c r="G16">
        <f t="shared" si="0"/>
        <v>2104</v>
      </c>
      <c r="H16" t="str">
        <f t="shared" si="1"/>
        <v>`     More convenient to use because you don't need to go out any more</v>
      </c>
      <c r="I16" t="s">
        <v>520</v>
      </c>
      <c r="J16" t="str">
        <f t="shared" si="2"/>
        <v>&lt;G2B&gt;&lt;G1P&gt;`     More convenient to use because you don't need to go out any more</v>
      </c>
    </row>
    <row r="17" spans="1:10" x14ac:dyDescent="0.25">
      <c r="A17" s="105">
        <v>2140</v>
      </c>
      <c r="B17" s="106" t="s">
        <v>845</v>
      </c>
      <c r="C17" t="s">
        <v>16</v>
      </c>
      <c r="D17" t="s">
        <v>318</v>
      </c>
      <c r="F17" t="s">
        <v>326</v>
      </c>
      <c r="G17">
        <f t="shared" si="0"/>
        <v>2140</v>
      </c>
      <c r="H17" t="str">
        <f t="shared" si="1"/>
        <v>`     Convenient to use GCash</v>
      </c>
      <c r="I17" t="s">
        <v>522</v>
      </c>
      <c r="J17" t="str">
        <f t="shared" si="2"/>
        <v>&lt;G1P&gt;`     Convenient to use GCash</v>
      </c>
    </row>
    <row r="18" spans="1:10" x14ac:dyDescent="0.25">
      <c r="A18" s="105">
        <v>2163</v>
      </c>
      <c r="B18" s="106" t="s">
        <v>846</v>
      </c>
      <c r="C18" t="s">
        <v>16</v>
      </c>
      <c r="D18" t="s">
        <v>318</v>
      </c>
      <c r="F18" t="s">
        <v>326</v>
      </c>
      <c r="G18">
        <f t="shared" si="0"/>
        <v>2163</v>
      </c>
      <c r="H18" t="str">
        <f t="shared" si="1"/>
        <v>`     No need to wait on long queue in loading</v>
      </c>
      <c r="I18" t="s">
        <v>521</v>
      </c>
      <c r="J18" t="str">
        <f t="shared" si="2"/>
        <v>&lt;G2E&gt;&lt;G1P&gt;`     No need to wait on long queue in loading</v>
      </c>
    </row>
    <row r="19" spans="1:10" ht="42.75" x14ac:dyDescent="0.25">
      <c r="A19" s="102" t="s">
        <v>935</v>
      </c>
      <c r="B19" s="103" t="s">
        <v>847</v>
      </c>
      <c r="C19" t="s">
        <v>6</v>
      </c>
      <c r="D19" t="s">
        <v>323</v>
      </c>
      <c r="E19" t="s">
        <v>322</v>
      </c>
      <c r="F19" t="s">
        <v>327</v>
      </c>
      <c r="G19" t="str">
        <f t="shared" si="0"/>
        <v>2105+2106+2107+2108+2156+2109+2110+2111+2161+2173+2174+2176+2177+2183+2158+2170</v>
      </c>
      <c r="H19" t="str">
        <f t="shared" si="1"/>
        <v>`BONDING OF FRIENDS/FAMILY (NET)&lt;Q&gt;</v>
      </c>
      <c r="J19" t="str">
        <f t="shared" si="2"/>
        <v>`BONDING OF FRIENDS/FAMILY (NET)&lt;Q&gt;</v>
      </c>
    </row>
    <row r="20" spans="1:10" x14ac:dyDescent="0.25">
      <c r="A20" s="109">
        <v>2105</v>
      </c>
      <c r="B20" s="7" t="s">
        <v>848</v>
      </c>
      <c r="C20" t="s">
        <v>16</v>
      </c>
      <c r="D20" t="s">
        <v>318</v>
      </c>
      <c r="F20" t="s">
        <v>326</v>
      </c>
      <c r="G20">
        <f t="shared" si="0"/>
        <v>2105</v>
      </c>
      <c r="H20" t="str">
        <f t="shared" si="1"/>
        <v>`     They are happy to use GCash</v>
      </c>
      <c r="I20" t="s">
        <v>520</v>
      </c>
      <c r="J20" t="str">
        <f t="shared" si="2"/>
        <v>&lt;G2B&gt;&lt;G1P&gt;`     They are happy to use GCash</v>
      </c>
    </row>
    <row r="21" spans="1:10" x14ac:dyDescent="0.25">
      <c r="A21" s="109">
        <v>2106</v>
      </c>
      <c r="B21" s="7" t="s">
        <v>849</v>
      </c>
      <c r="C21" t="s">
        <v>16</v>
      </c>
      <c r="D21" t="s">
        <v>318</v>
      </c>
      <c r="F21" t="s">
        <v>326</v>
      </c>
      <c r="G21">
        <f t="shared" si="0"/>
        <v>2106</v>
      </c>
      <c r="H21" t="str">
        <f t="shared" si="1"/>
        <v>`     A lot of people like it because they enjoyed it</v>
      </c>
      <c r="I21" t="s">
        <v>522</v>
      </c>
      <c r="J21" t="str">
        <f t="shared" si="2"/>
        <v>&lt;G1P&gt;`     A lot of people like it because they enjoyed it</v>
      </c>
    </row>
    <row r="22" spans="1:10" x14ac:dyDescent="0.25">
      <c r="A22" s="110">
        <v>2107</v>
      </c>
      <c r="B22" s="7" t="s">
        <v>850</v>
      </c>
      <c r="C22" t="s">
        <v>16</v>
      </c>
      <c r="D22" t="s">
        <v>318</v>
      </c>
      <c r="F22" t="s">
        <v>326</v>
      </c>
      <c r="G22">
        <f t="shared" si="0"/>
        <v>2107</v>
      </c>
      <c r="H22" t="str">
        <f t="shared" si="1"/>
        <v>`     They are happy and amazed from what they saw in GCash</v>
      </c>
      <c r="I22" t="s">
        <v>522</v>
      </c>
      <c r="J22" t="str">
        <f t="shared" si="2"/>
        <v>&lt;G1P&gt;`     They are happy and amazed from what they saw in GCash</v>
      </c>
    </row>
    <row r="23" spans="1:10" x14ac:dyDescent="0.25">
      <c r="A23" s="110" t="s">
        <v>851</v>
      </c>
      <c r="B23" s="7" t="s">
        <v>669</v>
      </c>
      <c r="C23" t="s">
        <v>16</v>
      </c>
      <c r="D23" t="s">
        <v>318</v>
      </c>
      <c r="F23" t="s">
        <v>326</v>
      </c>
      <c r="G23" t="str">
        <f t="shared" si="0"/>
        <v>2108+2156</v>
      </c>
      <c r="H23" t="str">
        <f t="shared" si="1"/>
        <v>`     Happy</v>
      </c>
      <c r="I23" t="s">
        <v>522</v>
      </c>
      <c r="J23" t="str">
        <f t="shared" si="2"/>
        <v>&lt;G1P&gt;`     Happy</v>
      </c>
    </row>
    <row r="24" spans="1:10" x14ac:dyDescent="0.25">
      <c r="A24" s="110">
        <v>2109</v>
      </c>
      <c r="B24" s="7" t="s">
        <v>852</v>
      </c>
      <c r="C24" t="s">
        <v>16</v>
      </c>
      <c r="D24" t="s">
        <v>318</v>
      </c>
      <c r="F24" t="s">
        <v>326</v>
      </c>
      <c r="G24">
        <f t="shared" si="0"/>
        <v>2109</v>
      </c>
      <c r="H24" t="str">
        <f t="shared" si="1"/>
        <v>`     The young people are happy</v>
      </c>
      <c r="I24" t="s">
        <v>522</v>
      </c>
      <c r="J24" t="str">
        <f t="shared" si="2"/>
        <v>&lt;G1P&gt;`     The young people are happy</v>
      </c>
    </row>
    <row r="25" spans="1:10" x14ac:dyDescent="0.25">
      <c r="A25" s="110">
        <v>2110</v>
      </c>
      <c r="B25" s="7" t="s">
        <v>853</v>
      </c>
      <c r="C25" t="s">
        <v>16</v>
      </c>
      <c r="D25" t="s">
        <v>318</v>
      </c>
      <c r="F25" t="s">
        <v>326</v>
      </c>
      <c r="G25">
        <f t="shared" si="0"/>
        <v>2110</v>
      </c>
      <c r="H25" t="str">
        <f t="shared" si="1"/>
        <v>`     The `"barkada`" is happy when there is GCash</v>
      </c>
      <c r="I25" t="s">
        <v>522</v>
      </c>
      <c r="J25" t="str">
        <f t="shared" si="2"/>
        <v>&lt;G1P&gt;`     The `"barkada`" is happy when there is GCash</v>
      </c>
    </row>
    <row r="26" spans="1:10" x14ac:dyDescent="0.25">
      <c r="A26" s="110">
        <v>2111</v>
      </c>
      <c r="B26" s="7" t="s">
        <v>854</v>
      </c>
      <c r="C26" t="s">
        <v>16</v>
      </c>
      <c r="D26" t="s">
        <v>318</v>
      </c>
      <c r="F26" t="s">
        <v>326</v>
      </c>
      <c r="G26">
        <f t="shared" si="0"/>
        <v>2111</v>
      </c>
      <c r="H26" t="str">
        <f t="shared" si="1"/>
        <v>`     Friends are using GCash</v>
      </c>
      <c r="I26" t="s">
        <v>522</v>
      </c>
      <c r="J26" t="str">
        <f t="shared" si="2"/>
        <v>&lt;G1P&gt;`     Friends are using GCash</v>
      </c>
    </row>
    <row r="27" spans="1:10" x14ac:dyDescent="0.25">
      <c r="A27" s="107">
        <v>2161</v>
      </c>
      <c r="B27" s="108" t="s">
        <v>855</v>
      </c>
      <c r="C27" t="s">
        <v>16</v>
      </c>
      <c r="D27" t="s">
        <v>318</v>
      </c>
      <c r="F27" t="s">
        <v>326</v>
      </c>
      <c r="G27">
        <f t="shared" si="0"/>
        <v>2161</v>
      </c>
      <c r="H27" t="str">
        <f t="shared" si="1"/>
        <v>`     Family are happy together</v>
      </c>
      <c r="I27" t="s">
        <v>522</v>
      </c>
      <c r="J27" t="str">
        <f t="shared" si="2"/>
        <v>&lt;G1P&gt;`     Family are happy together</v>
      </c>
    </row>
    <row r="28" spans="1:10" x14ac:dyDescent="0.25">
      <c r="A28" s="107">
        <v>2173</v>
      </c>
      <c r="B28" s="108" t="s">
        <v>856</v>
      </c>
      <c r="C28" t="s">
        <v>16</v>
      </c>
      <c r="D28" t="s">
        <v>318</v>
      </c>
      <c r="F28" t="s">
        <v>326</v>
      </c>
      <c r="G28">
        <f t="shared" si="0"/>
        <v>2173</v>
      </c>
      <c r="H28" t="str">
        <f t="shared" si="1"/>
        <v>`     People are happy having conversation</v>
      </c>
      <c r="I28" t="s">
        <v>522</v>
      </c>
      <c r="J28" t="str">
        <f t="shared" si="2"/>
        <v>&lt;G1P&gt;`     People are happy having conversation</v>
      </c>
    </row>
    <row r="29" spans="1:10" x14ac:dyDescent="0.25">
      <c r="A29" s="107">
        <v>2174</v>
      </c>
      <c r="B29" s="108" t="s">
        <v>857</v>
      </c>
      <c r="C29" t="s">
        <v>16</v>
      </c>
      <c r="D29" t="s">
        <v>318</v>
      </c>
      <c r="F29" t="s">
        <v>326</v>
      </c>
      <c r="G29">
        <f t="shared" si="0"/>
        <v>2174</v>
      </c>
      <c r="H29" t="str">
        <f t="shared" si="1"/>
        <v>`     Happy `"barkada`" bonding</v>
      </c>
      <c r="I29" t="s">
        <v>522</v>
      </c>
      <c r="J29" t="str">
        <f t="shared" si="2"/>
        <v>&lt;G1P&gt;`     Happy `"barkada`" bonding</v>
      </c>
    </row>
    <row r="30" spans="1:10" x14ac:dyDescent="0.25">
      <c r="A30" s="107">
        <v>2176</v>
      </c>
      <c r="B30" s="108" t="s">
        <v>858</v>
      </c>
      <c r="C30" t="s">
        <v>16</v>
      </c>
      <c r="D30" t="s">
        <v>318</v>
      </c>
      <c r="F30" t="s">
        <v>326</v>
      </c>
      <c r="G30">
        <f t="shared" si="0"/>
        <v>2176</v>
      </c>
      <c r="H30" t="str">
        <f t="shared" si="1"/>
        <v>`     Group of people are enjoing</v>
      </c>
      <c r="I30" t="s">
        <v>522</v>
      </c>
      <c r="J30" t="str">
        <f t="shared" si="2"/>
        <v>&lt;G1P&gt;`     Group of people are enjoing</v>
      </c>
    </row>
    <row r="31" spans="1:10" x14ac:dyDescent="0.25">
      <c r="A31" s="107">
        <v>2177</v>
      </c>
      <c r="B31" s="108" t="s">
        <v>859</v>
      </c>
      <c r="C31" t="s">
        <v>16</v>
      </c>
      <c r="D31" t="s">
        <v>318</v>
      </c>
      <c r="F31" t="s">
        <v>326</v>
      </c>
      <c r="G31">
        <f t="shared" si="0"/>
        <v>2177</v>
      </c>
      <c r="H31" t="str">
        <f t="shared" si="1"/>
        <v>`     Enjoy on what they are doing</v>
      </c>
      <c r="I31" t="s">
        <v>522</v>
      </c>
      <c r="J31" t="str">
        <f t="shared" si="2"/>
        <v>&lt;G1P&gt;`     Enjoy on what they are doing</v>
      </c>
    </row>
    <row r="32" spans="1:10" x14ac:dyDescent="0.25">
      <c r="A32" s="107">
        <v>2183</v>
      </c>
      <c r="B32" s="108" t="s">
        <v>860</v>
      </c>
      <c r="C32" t="s">
        <v>16</v>
      </c>
      <c r="D32" t="s">
        <v>318</v>
      </c>
      <c r="F32" t="s">
        <v>326</v>
      </c>
      <c r="G32">
        <f t="shared" si="0"/>
        <v>2183</v>
      </c>
      <c r="H32" t="str">
        <f t="shared" si="1"/>
        <v>`     The whole family using GCash</v>
      </c>
      <c r="I32" t="s">
        <v>522</v>
      </c>
      <c r="J32" t="str">
        <f t="shared" si="2"/>
        <v>&lt;G1P&gt;`     The whole family using GCash</v>
      </c>
    </row>
    <row r="33" spans="1:10" x14ac:dyDescent="0.25">
      <c r="A33" s="105">
        <v>2158</v>
      </c>
      <c r="B33" s="106" t="s">
        <v>861</v>
      </c>
      <c r="C33" t="s">
        <v>16</v>
      </c>
      <c r="D33" t="s">
        <v>318</v>
      </c>
      <c r="F33" t="s">
        <v>326</v>
      </c>
      <c r="G33">
        <f t="shared" si="0"/>
        <v>2158</v>
      </c>
      <c r="H33" t="str">
        <f t="shared" si="1"/>
        <v>`     Familly bonding</v>
      </c>
      <c r="I33" t="s">
        <v>522</v>
      </c>
      <c r="J33" t="str">
        <f t="shared" si="2"/>
        <v>&lt;G1P&gt;`     Familly bonding</v>
      </c>
    </row>
    <row r="34" spans="1:10" ht="28.5" x14ac:dyDescent="0.25">
      <c r="A34" s="105">
        <v>2170</v>
      </c>
      <c r="B34" s="106" t="s">
        <v>862</v>
      </c>
      <c r="C34" t="s">
        <v>16</v>
      </c>
      <c r="D34" t="s">
        <v>318</v>
      </c>
      <c r="F34" t="s">
        <v>326</v>
      </c>
      <c r="G34">
        <f t="shared" ref="G34:G65" si="3">IF(A34="","",A34)</f>
        <v>2170</v>
      </c>
      <c r="H34" t="str">
        <f t="shared" ref="H34:H65" si="4">_xlfn.CONCAT(D34,SUBSTITUTE(B34,"""","`"""),E34)</f>
        <v xml:space="preserve">`     It's nice because its for the family and for young people </v>
      </c>
      <c r="I34" t="s">
        <v>521</v>
      </c>
      <c r="J34" t="str">
        <f t="shared" ref="J34:J65" si="5">_xlfn.CONCAT(I34,H34)</f>
        <v xml:space="preserve">&lt;G2E&gt;&lt;G1P&gt;`     It's nice because its for the family and for young people </v>
      </c>
    </row>
    <row r="35" spans="1:10" ht="15.75" x14ac:dyDescent="0.25">
      <c r="A35" s="110" t="s">
        <v>936</v>
      </c>
      <c r="B35" s="15" t="s">
        <v>863</v>
      </c>
      <c r="C35" t="s">
        <v>6</v>
      </c>
      <c r="D35" t="s">
        <v>323</v>
      </c>
      <c r="E35" t="s">
        <v>322</v>
      </c>
      <c r="F35" t="s">
        <v>327</v>
      </c>
      <c r="G35" t="str">
        <f t="shared" si="3"/>
        <v>2112+2113+2114+2115+2190+2191+2195</v>
      </c>
      <c r="H35" t="str">
        <f t="shared" si="4"/>
        <v>`CAN LOAD OTHER PEOPLE (NET)&lt;Q&gt;</v>
      </c>
      <c r="J35" t="str">
        <f t="shared" si="5"/>
        <v>`CAN LOAD OTHER PEOPLE (NET)&lt;Q&gt;</v>
      </c>
    </row>
    <row r="36" spans="1:10" x14ac:dyDescent="0.25">
      <c r="A36" s="110">
        <v>2112</v>
      </c>
      <c r="B36" s="7" t="s">
        <v>864</v>
      </c>
      <c r="C36" t="s">
        <v>16</v>
      </c>
      <c r="D36" t="s">
        <v>318</v>
      </c>
      <c r="F36" t="s">
        <v>326</v>
      </c>
      <c r="G36">
        <f t="shared" si="3"/>
        <v>2112</v>
      </c>
      <c r="H36" t="str">
        <f t="shared" si="4"/>
        <v>`     Can send load to other members of the family</v>
      </c>
      <c r="I36" t="s">
        <v>520</v>
      </c>
      <c r="J36" t="str">
        <f t="shared" si="5"/>
        <v>&lt;G2B&gt;&lt;G1P&gt;`     Can send load to other members of the family</v>
      </c>
    </row>
    <row r="37" spans="1:10" x14ac:dyDescent="0.25">
      <c r="A37" s="110">
        <v>2113</v>
      </c>
      <c r="B37" s="7" t="s">
        <v>865</v>
      </c>
      <c r="C37" t="s">
        <v>16</v>
      </c>
      <c r="D37" t="s">
        <v>318</v>
      </c>
      <c r="F37" t="s">
        <v>326</v>
      </c>
      <c r="G37">
        <f t="shared" si="3"/>
        <v>2113</v>
      </c>
      <c r="H37" t="str">
        <f t="shared" si="4"/>
        <v>`     Can send load to other people using the GCash app</v>
      </c>
      <c r="I37" t="s">
        <v>522</v>
      </c>
      <c r="J37" t="str">
        <f t="shared" si="5"/>
        <v>&lt;G1P&gt;`     Can send load to other people using the GCash app</v>
      </c>
    </row>
    <row r="38" spans="1:10" x14ac:dyDescent="0.25">
      <c r="A38" s="110">
        <v>2114</v>
      </c>
      <c r="B38" s="7" t="s">
        <v>866</v>
      </c>
      <c r="C38" t="s">
        <v>16</v>
      </c>
      <c r="D38" t="s">
        <v>318</v>
      </c>
      <c r="F38" t="s">
        <v>326</v>
      </c>
      <c r="G38">
        <f t="shared" si="3"/>
        <v>2114</v>
      </c>
      <c r="H38" t="str">
        <f t="shared" si="4"/>
        <v>`     Can send load to my friends using GCash</v>
      </c>
      <c r="I38" t="s">
        <v>522</v>
      </c>
      <c r="J38" t="str">
        <f t="shared" si="5"/>
        <v>&lt;G1P&gt;`     Can send load to my friends using GCash</v>
      </c>
    </row>
    <row r="39" spans="1:10" x14ac:dyDescent="0.25">
      <c r="A39" s="110">
        <v>2115</v>
      </c>
      <c r="B39" s="7" t="s">
        <v>867</v>
      </c>
      <c r="C39" t="s">
        <v>16</v>
      </c>
      <c r="D39" t="s">
        <v>318</v>
      </c>
      <c r="F39" t="s">
        <v>326</v>
      </c>
      <c r="G39">
        <f t="shared" si="3"/>
        <v>2115</v>
      </c>
      <c r="H39" t="str">
        <f t="shared" si="4"/>
        <v>`     Friends can bond using GCash</v>
      </c>
      <c r="I39" t="s">
        <v>522</v>
      </c>
      <c r="J39" t="str">
        <f t="shared" si="5"/>
        <v>&lt;G1P&gt;`     Friends can bond using GCash</v>
      </c>
    </row>
    <row r="40" spans="1:10" x14ac:dyDescent="0.25">
      <c r="A40" s="111">
        <v>2190</v>
      </c>
      <c r="B40" s="112" t="s">
        <v>868</v>
      </c>
      <c r="C40" t="s">
        <v>16</v>
      </c>
      <c r="D40" t="s">
        <v>318</v>
      </c>
      <c r="F40" t="s">
        <v>326</v>
      </c>
      <c r="G40">
        <f t="shared" si="3"/>
        <v>2190</v>
      </c>
      <c r="H40" t="str">
        <f t="shared" si="4"/>
        <v>`     It is possible to load a group</v>
      </c>
      <c r="I40" t="s">
        <v>522</v>
      </c>
      <c r="J40" t="str">
        <f t="shared" si="5"/>
        <v>&lt;G1P&gt;`     It is possible to load a group</v>
      </c>
    </row>
    <row r="41" spans="1:10" x14ac:dyDescent="0.25">
      <c r="A41" s="111">
        <v>2191</v>
      </c>
      <c r="B41" s="112" t="s">
        <v>869</v>
      </c>
      <c r="C41" t="s">
        <v>16</v>
      </c>
      <c r="D41" t="s">
        <v>318</v>
      </c>
      <c r="F41" t="s">
        <v>326</v>
      </c>
      <c r="G41">
        <f t="shared" si="3"/>
        <v>2191</v>
      </c>
      <c r="H41" t="str">
        <f t="shared" si="4"/>
        <v>`     Can load at the same time</v>
      </c>
      <c r="I41" t="s">
        <v>522</v>
      </c>
      <c r="J41" t="str">
        <f t="shared" si="5"/>
        <v>&lt;G1P&gt;`     Can load at the same time</v>
      </c>
    </row>
    <row r="42" spans="1:10" x14ac:dyDescent="0.25">
      <c r="A42" s="113">
        <v>2195</v>
      </c>
      <c r="B42" s="114" t="s">
        <v>870</v>
      </c>
      <c r="C42" t="s">
        <v>16</v>
      </c>
      <c r="D42" t="s">
        <v>318</v>
      </c>
      <c r="F42" t="s">
        <v>326</v>
      </c>
      <c r="G42">
        <f t="shared" si="3"/>
        <v>2195</v>
      </c>
      <c r="H42" t="str">
        <f t="shared" si="4"/>
        <v>`     Can load to your own GCash</v>
      </c>
      <c r="I42" t="s">
        <v>521</v>
      </c>
      <c r="J42" t="str">
        <f t="shared" si="5"/>
        <v>&lt;G2E&gt;&lt;G1P&gt;`     Can load to your own GCash</v>
      </c>
    </row>
    <row r="43" spans="1:10" ht="15.75" x14ac:dyDescent="0.25">
      <c r="A43" s="110">
        <v>2116</v>
      </c>
      <c r="B43" s="15" t="s">
        <v>871</v>
      </c>
      <c r="C43" t="s">
        <v>6</v>
      </c>
      <c r="D43" t="s">
        <v>323</v>
      </c>
      <c r="E43" t="s">
        <v>322</v>
      </c>
      <c r="F43" t="s">
        <v>327</v>
      </c>
      <c r="G43">
        <f t="shared" si="3"/>
        <v>2116</v>
      </c>
      <c r="H43" t="str">
        <f t="shared" si="4"/>
        <v>`SAVE MONEY (NET)&lt;Q&gt;</v>
      </c>
      <c r="J43" t="str">
        <f t="shared" si="5"/>
        <v>`SAVE MONEY (NET)&lt;Q&gt;</v>
      </c>
    </row>
    <row r="44" spans="1:10" x14ac:dyDescent="0.25">
      <c r="A44" s="110">
        <v>2116</v>
      </c>
      <c r="B44" s="7" t="s">
        <v>872</v>
      </c>
      <c r="C44" t="s">
        <v>16</v>
      </c>
      <c r="D44" t="s">
        <v>318</v>
      </c>
      <c r="F44" t="s">
        <v>326</v>
      </c>
      <c r="G44">
        <f t="shared" si="3"/>
        <v>2116</v>
      </c>
      <c r="H44" t="str">
        <f t="shared" si="4"/>
        <v>`     Can save money using GCash</v>
      </c>
      <c r="I44" t="s">
        <v>522</v>
      </c>
      <c r="J44" t="str">
        <f t="shared" si="5"/>
        <v>&lt;G1P&gt;`     Can save money using GCash</v>
      </c>
    </row>
    <row r="45" spans="1:10" ht="15.75" x14ac:dyDescent="0.25">
      <c r="A45" s="110" t="s">
        <v>937</v>
      </c>
      <c r="B45" s="15" t="s">
        <v>672</v>
      </c>
      <c r="C45" t="s">
        <v>6</v>
      </c>
      <c r="D45" t="s">
        <v>323</v>
      </c>
      <c r="E45" t="s">
        <v>322</v>
      </c>
      <c r="F45" t="s">
        <v>327</v>
      </c>
      <c r="G45" t="str">
        <f t="shared" si="3"/>
        <v>2117+2118+2119+2152+2166+2180+2181+2188+2144+2145+2169+2198</v>
      </c>
      <c r="H45" t="str">
        <f t="shared" si="4"/>
        <v>`BUY LOAD VIA GCASH (NET)&lt;Q&gt;</v>
      </c>
      <c r="J45" t="str">
        <f t="shared" si="5"/>
        <v>`BUY LOAD VIA GCASH (NET)&lt;Q&gt;</v>
      </c>
    </row>
    <row r="46" spans="1:10" x14ac:dyDescent="0.25">
      <c r="A46" s="110">
        <v>2117</v>
      </c>
      <c r="B46" s="7" t="s">
        <v>873</v>
      </c>
      <c r="C46" t="s">
        <v>16</v>
      </c>
      <c r="D46" t="s">
        <v>318</v>
      </c>
      <c r="F46" t="s">
        <v>326</v>
      </c>
      <c r="G46">
        <f t="shared" si="3"/>
        <v>2117</v>
      </c>
      <c r="H46" t="str">
        <f t="shared" si="4"/>
        <v>`     Can use GCash to buy load</v>
      </c>
      <c r="I46" t="s">
        <v>520</v>
      </c>
      <c r="J46" t="str">
        <f t="shared" si="5"/>
        <v>&lt;G2B&gt;&lt;G1P&gt;`     Can use GCash to buy load</v>
      </c>
    </row>
    <row r="47" spans="1:10" x14ac:dyDescent="0.25">
      <c r="A47" s="110">
        <v>2118</v>
      </c>
      <c r="B47" s="7" t="s">
        <v>675</v>
      </c>
      <c r="C47" t="s">
        <v>16</v>
      </c>
      <c r="D47" t="s">
        <v>318</v>
      </c>
      <c r="F47" t="s">
        <v>326</v>
      </c>
      <c r="G47">
        <f t="shared" si="3"/>
        <v>2118</v>
      </c>
      <c r="H47" t="str">
        <f t="shared" si="4"/>
        <v>`     Buy load</v>
      </c>
      <c r="I47" t="s">
        <v>522</v>
      </c>
      <c r="J47" t="str">
        <f t="shared" si="5"/>
        <v>&lt;G1P&gt;`     Buy load</v>
      </c>
    </row>
    <row r="48" spans="1:10" x14ac:dyDescent="0.25">
      <c r="A48" s="102">
        <v>2119</v>
      </c>
      <c r="B48" s="104" t="s">
        <v>576</v>
      </c>
      <c r="C48" t="s">
        <v>16</v>
      </c>
      <c r="D48" t="s">
        <v>318</v>
      </c>
      <c r="F48" t="s">
        <v>326</v>
      </c>
      <c r="G48">
        <f t="shared" si="3"/>
        <v>2119</v>
      </c>
      <c r="H48" t="str">
        <f t="shared" si="4"/>
        <v>`     Load</v>
      </c>
      <c r="I48" t="s">
        <v>522</v>
      </c>
      <c r="J48" t="str">
        <f t="shared" si="5"/>
        <v>&lt;G1P&gt;`     Load</v>
      </c>
    </row>
    <row r="49" spans="1:10" x14ac:dyDescent="0.25">
      <c r="A49" s="105">
        <v>2152</v>
      </c>
      <c r="B49" s="106" t="s">
        <v>874</v>
      </c>
      <c r="C49" t="s">
        <v>16</v>
      </c>
      <c r="D49" t="s">
        <v>318</v>
      </c>
      <c r="F49" t="s">
        <v>326</v>
      </c>
      <c r="G49">
        <f t="shared" si="3"/>
        <v>2152</v>
      </c>
      <c r="H49" t="str">
        <f t="shared" si="4"/>
        <v>`     Buy load for gaming</v>
      </c>
      <c r="I49" t="s">
        <v>522</v>
      </c>
      <c r="J49" t="str">
        <f t="shared" si="5"/>
        <v>&lt;G1P&gt;`     Buy load for gaming</v>
      </c>
    </row>
    <row r="50" spans="1:10" x14ac:dyDescent="0.25">
      <c r="A50" s="105">
        <v>2166</v>
      </c>
      <c r="B50" s="106" t="s">
        <v>681</v>
      </c>
      <c r="C50" t="s">
        <v>16</v>
      </c>
      <c r="D50" t="s">
        <v>318</v>
      </c>
      <c r="F50" t="s">
        <v>326</v>
      </c>
      <c r="G50">
        <f t="shared" si="3"/>
        <v>2166</v>
      </c>
      <c r="H50" t="str">
        <f t="shared" si="4"/>
        <v>`     Load online</v>
      </c>
      <c r="I50" t="s">
        <v>522</v>
      </c>
      <c r="J50" t="str">
        <f t="shared" si="5"/>
        <v>&lt;G1P&gt;`     Load online</v>
      </c>
    </row>
    <row r="51" spans="1:10" x14ac:dyDescent="0.25">
      <c r="A51" s="105">
        <v>2180</v>
      </c>
      <c r="B51" s="106" t="s">
        <v>875</v>
      </c>
      <c r="C51" t="s">
        <v>16</v>
      </c>
      <c r="D51" t="s">
        <v>318</v>
      </c>
      <c r="F51" t="s">
        <v>326</v>
      </c>
      <c r="G51">
        <f t="shared" si="3"/>
        <v>2180</v>
      </c>
      <c r="H51" t="str">
        <f t="shared" si="4"/>
        <v>`     Buying load online</v>
      </c>
      <c r="I51" t="s">
        <v>522</v>
      </c>
      <c r="J51" t="str">
        <f t="shared" si="5"/>
        <v>&lt;G1P&gt;`     Buying load online</v>
      </c>
    </row>
    <row r="52" spans="1:10" x14ac:dyDescent="0.25">
      <c r="A52" s="105">
        <v>2181</v>
      </c>
      <c r="B52" s="106" t="s">
        <v>876</v>
      </c>
      <c r="C52" t="s">
        <v>16</v>
      </c>
      <c r="D52" t="s">
        <v>318</v>
      </c>
      <c r="F52" t="s">
        <v>326</v>
      </c>
      <c r="G52">
        <f t="shared" si="3"/>
        <v>2181</v>
      </c>
      <c r="H52" t="str">
        <f t="shared" si="4"/>
        <v>`     Can load on Gcash when you run out of load</v>
      </c>
      <c r="I52" t="s">
        <v>522</v>
      </c>
      <c r="J52" t="str">
        <f t="shared" si="5"/>
        <v>&lt;G1P&gt;`     Can load on Gcash when you run out of load</v>
      </c>
    </row>
    <row r="53" spans="1:10" x14ac:dyDescent="0.25">
      <c r="A53" s="105">
        <v>2188</v>
      </c>
      <c r="B53" s="106" t="s">
        <v>877</v>
      </c>
      <c r="C53" t="s">
        <v>16</v>
      </c>
      <c r="D53" t="s">
        <v>318</v>
      </c>
      <c r="F53" t="s">
        <v>326</v>
      </c>
      <c r="G53">
        <f t="shared" si="3"/>
        <v>2188</v>
      </c>
      <c r="H53" t="str">
        <f t="shared" si="4"/>
        <v>`     Family can load usign GCash</v>
      </c>
      <c r="I53" t="s">
        <v>522</v>
      </c>
      <c r="J53" t="str">
        <f t="shared" si="5"/>
        <v>&lt;G1P&gt;`     Family can load usign GCash</v>
      </c>
    </row>
    <row r="54" spans="1:10" x14ac:dyDescent="0.25">
      <c r="A54" s="105">
        <v>2144</v>
      </c>
      <c r="B54" s="106" t="s">
        <v>878</v>
      </c>
      <c r="C54" t="s">
        <v>16</v>
      </c>
      <c r="D54" t="s">
        <v>318</v>
      </c>
      <c r="F54" t="s">
        <v>326</v>
      </c>
      <c r="G54">
        <f t="shared" si="3"/>
        <v>2144</v>
      </c>
      <c r="H54" t="str">
        <f t="shared" si="4"/>
        <v>`     Emergency load using GCash</v>
      </c>
      <c r="I54" t="s">
        <v>522</v>
      </c>
      <c r="J54" t="str">
        <f t="shared" si="5"/>
        <v>&lt;G1P&gt;`     Emergency load using GCash</v>
      </c>
    </row>
    <row r="55" spans="1:10" x14ac:dyDescent="0.25">
      <c r="A55" s="105">
        <v>2145</v>
      </c>
      <c r="B55" s="106" t="s">
        <v>678</v>
      </c>
      <c r="C55" t="s">
        <v>16</v>
      </c>
      <c r="D55" t="s">
        <v>318</v>
      </c>
      <c r="F55" t="s">
        <v>326</v>
      </c>
      <c r="G55">
        <f t="shared" si="3"/>
        <v>2145</v>
      </c>
      <c r="H55" t="str">
        <f t="shared" si="4"/>
        <v>`     About load</v>
      </c>
      <c r="I55" t="s">
        <v>522</v>
      </c>
      <c r="J55" t="str">
        <f t="shared" si="5"/>
        <v>&lt;G1P&gt;`     About load</v>
      </c>
    </row>
    <row r="56" spans="1:10" x14ac:dyDescent="0.25">
      <c r="A56" s="105">
        <v>2169</v>
      </c>
      <c r="B56" s="106" t="s">
        <v>879</v>
      </c>
      <c r="C56" t="s">
        <v>16</v>
      </c>
      <c r="D56" t="s">
        <v>318</v>
      </c>
      <c r="F56" t="s">
        <v>326</v>
      </c>
      <c r="G56">
        <f t="shared" si="3"/>
        <v>2169</v>
      </c>
      <c r="H56" t="str">
        <f t="shared" si="4"/>
        <v>`     Can load any network using GCash</v>
      </c>
      <c r="I56" t="s">
        <v>522</v>
      </c>
      <c r="J56" t="str">
        <f t="shared" si="5"/>
        <v>&lt;G1P&gt;`     Can load any network using GCash</v>
      </c>
    </row>
    <row r="57" spans="1:10" x14ac:dyDescent="0.25">
      <c r="A57" s="113">
        <v>2198</v>
      </c>
      <c r="B57" s="114" t="s">
        <v>880</v>
      </c>
      <c r="C57" t="s">
        <v>16</v>
      </c>
      <c r="D57" t="s">
        <v>318</v>
      </c>
      <c r="F57" t="s">
        <v>326</v>
      </c>
      <c r="G57">
        <f t="shared" si="3"/>
        <v>2198</v>
      </c>
      <c r="H57" t="str">
        <f t="shared" si="4"/>
        <v>`     It's worth it to load on GCash</v>
      </c>
      <c r="I57" t="s">
        <v>521</v>
      </c>
      <c r="J57" t="str">
        <f t="shared" si="5"/>
        <v>&lt;G2E&gt;&lt;G1P&gt;`     It's worth it to load on GCash</v>
      </c>
    </row>
    <row r="58" spans="1:10" ht="15.75" x14ac:dyDescent="0.25">
      <c r="A58" s="102">
        <v>2120</v>
      </c>
      <c r="B58" s="103" t="s">
        <v>881</v>
      </c>
      <c r="C58" t="s">
        <v>6</v>
      </c>
      <c r="D58" t="s">
        <v>323</v>
      </c>
      <c r="E58" t="s">
        <v>322</v>
      </c>
      <c r="F58" t="s">
        <v>327</v>
      </c>
      <c r="G58">
        <f t="shared" si="3"/>
        <v>2120</v>
      </c>
      <c r="H58" t="str">
        <f t="shared" si="4"/>
        <v>`RECEIVE MONEY (NET)&lt;Q&gt;</v>
      </c>
      <c r="J58" t="str">
        <f t="shared" si="5"/>
        <v>`RECEIVE MONEY (NET)&lt;Q&gt;</v>
      </c>
    </row>
    <row r="59" spans="1:10" x14ac:dyDescent="0.25">
      <c r="A59" s="102">
        <v>2120</v>
      </c>
      <c r="B59" s="104" t="s">
        <v>882</v>
      </c>
      <c r="C59" t="s">
        <v>16</v>
      </c>
      <c r="D59" t="s">
        <v>318</v>
      </c>
      <c r="F59" t="s">
        <v>326</v>
      </c>
      <c r="G59">
        <f t="shared" si="3"/>
        <v>2120</v>
      </c>
      <c r="H59" t="str">
        <f t="shared" si="4"/>
        <v>`     Able to receive money</v>
      </c>
      <c r="I59" t="s">
        <v>522</v>
      </c>
      <c r="J59" t="str">
        <f t="shared" si="5"/>
        <v>&lt;G1P&gt;`     Able to receive money</v>
      </c>
    </row>
    <row r="60" spans="1:10" ht="15.75" x14ac:dyDescent="0.25">
      <c r="A60" s="102">
        <v>2138</v>
      </c>
      <c r="B60" s="103" t="s">
        <v>883</v>
      </c>
      <c r="C60" t="s">
        <v>6</v>
      </c>
      <c r="D60" t="s">
        <v>323</v>
      </c>
      <c r="E60" t="s">
        <v>322</v>
      </c>
      <c r="F60" t="s">
        <v>327</v>
      </c>
      <c r="G60">
        <f t="shared" si="3"/>
        <v>2138</v>
      </c>
      <c r="H60" t="str">
        <f t="shared" si="4"/>
        <v>`SEND MONEY (NET)&lt;Q&gt;</v>
      </c>
      <c r="J60" t="str">
        <f t="shared" si="5"/>
        <v>`SEND MONEY (NET)&lt;Q&gt;</v>
      </c>
    </row>
    <row r="61" spans="1:10" x14ac:dyDescent="0.25">
      <c r="A61" s="102">
        <v>2138</v>
      </c>
      <c r="B61" s="104" t="s">
        <v>884</v>
      </c>
      <c r="C61" t="s">
        <v>16</v>
      </c>
      <c r="D61" t="s">
        <v>318</v>
      </c>
      <c r="F61" t="s">
        <v>326</v>
      </c>
      <c r="G61">
        <f t="shared" si="3"/>
        <v>2138</v>
      </c>
      <c r="H61" t="str">
        <f t="shared" si="4"/>
        <v>`     Send money</v>
      </c>
      <c r="I61" t="s">
        <v>522</v>
      </c>
      <c r="J61" t="str">
        <f t="shared" si="5"/>
        <v>&lt;G1P&gt;`     Send money</v>
      </c>
    </row>
    <row r="62" spans="1:10" ht="15.75" x14ac:dyDescent="0.25">
      <c r="A62" s="102" t="s">
        <v>938</v>
      </c>
      <c r="B62" s="103" t="s">
        <v>885</v>
      </c>
      <c r="C62" t="s">
        <v>6</v>
      </c>
      <c r="D62" t="s">
        <v>323</v>
      </c>
      <c r="E62" t="s">
        <v>322</v>
      </c>
      <c r="F62" t="s">
        <v>327</v>
      </c>
      <c r="G62" t="str">
        <f t="shared" si="3"/>
        <v>2121+2122+2167</v>
      </c>
      <c r="H62" t="str">
        <f t="shared" si="4"/>
        <v>`SPEED OF TRANSACTION (NET)&lt;Q&gt;</v>
      </c>
      <c r="J62" t="str">
        <f t="shared" si="5"/>
        <v>`SPEED OF TRANSACTION (NET)&lt;Q&gt;</v>
      </c>
    </row>
    <row r="63" spans="1:10" x14ac:dyDescent="0.25">
      <c r="A63" s="102">
        <v>2121</v>
      </c>
      <c r="B63" s="104" t="s">
        <v>886</v>
      </c>
      <c r="C63" t="s">
        <v>16</v>
      </c>
      <c r="D63" t="s">
        <v>318</v>
      </c>
      <c r="F63" t="s">
        <v>326</v>
      </c>
      <c r="G63">
        <f t="shared" si="3"/>
        <v>2121</v>
      </c>
      <c r="H63" t="str">
        <f t="shared" si="4"/>
        <v>`     Fast to load via GCash</v>
      </c>
      <c r="I63" t="s">
        <v>520</v>
      </c>
      <c r="J63" t="str">
        <f t="shared" si="5"/>
        <v>&lt;G2B&gt;&lt;G1P&gt;`     Fast to load via GCash</v>
      </c>
    </row>
    <row r="64" spans="1:10" x14ac:dyDescent="0.25">
      <c r="A64" s="102">
        <v>2122</v>
      </c>
      <c r="B64" s="104" t="s">
        <v>412</v>
      </c>
      <c r="C64" t="s">
        <v>16</v>
      </c>
      <c r="D64" t="s">
        <v>318</v>
      </c>
      <c r="F64" t="s">
        <v>326</v>
      </c>
      <c r="G64">
        <f t="shared" si="3"/>
        <v>2122</v>
      </c>
      <c r="H64" t="str">
        <f t="shared" si="4"/>
        <v>`     Fast transaction</v>
      </c>
      <c r="I64" t="s">
        <v>522</v>
      </c>
      <c r="J64" t="str">
        <f t="shared" si="5"/>
        <v>&lt;G1P&gt;`     Fast transaction</v>
      </c>
    </row>
    <row r="65" spans="1:10" x14ac:dyDescent="0.25">
      <c r="A65" s="105">
        <v>2167</v>
      </c>
      <c r="B65" s="106" t="s">
        <v>887</v>
      </c>
      <c r="C65" t="s">
        <v>16</v>
      </c>
      <c r="D65" t="s">
        <v>318</v>
      </c>
      <c r="F65" t="s">
        <v>326</v>
      </c>
      <c r="G65">
        <f t="shared" si="3"/>
        <v>2167</v>
      </c>
      <c r="H65" t="str">
        <f t="shared" si="4"/>
        <v>`     Fast to buy load</v>
      </c>
      <c r="I65" t="s">
        <v>521</v>
      </c>
      <c r="J65" t="str">
        <f t="shared" si="5"/>
        <v>&lt;G2E&gt;&lt;G1P&gt;`     Fast to buy load</v>
      </c>
    </row>
    <row r="66" spans="1:10" ht="15.75" x14ac:dyDescent="0.25">
      <c r="A66" s="102" t="s">
        <v>889</v>
      </c>
      <c r="B66" s="103" t="s">
        <v>888</v>
      </c>
      <c r="C66" t="s">
        <v>6</v>
      </c>
      <c r="D66" t="s">
        <v>323</v>
      </c>
      <c r="E66" t="s">
        <v>322</v>
      </c>
      <c r="F66" t="s">
        <v>327</v>
      </c>
      <c r="G66" t="str">
        <f t="shared" ref="G66:G97" si="6">IF(A66="","",A66)</f>
        <v>2123+2142</v>
      </c>
      <c r="H66" t="str">
        <f t="shared" ref="H66:H97" si="7">_xlfn.CONCAT(D66,SUBSTITUTE(B66,"""","`"""),E66)</f>
        <v>`ACCESSIBILITY (NET)&lt;Q&gt;</v>
      </c>
      <c r="J66" t="str">
        <f t="shared" ref="J66:J97" si="8">_xlfn.CONCAT(I66,H66)</f>
        <v>`ACCESSIBILITY (NET)&lt;Q&gt;</v>
      </c>
    </row>
    <row r="67" spans="1:10" x14ac:dyDescent="0.25">
      <c r="A67" s="102" t="s">
        <v>889</v>
      </c>
      <c r="B67" s="104" t="s">
        <v>890</v>
      </c>
      <c r="C67" t="s">
        <v>16</v>
      </c>
      <c r="D67" t="s">
        <v>318</v>
      </c>
      <c r="F67" t="s">
        <v>326</v>
      </c>
      <c r="G67" t="str">
        <f t="shared" si="6"/>
        <v>2123+2142</v>
      </c>
      <c r="H67" t="str">
        <f t="shared" si="7"/>
        <v>`     Ease of access</v>
      </c>
      <c r="I67" t="s">
        <v>522</v>
      </c>
      <c r="J67" t="str">
        <f t="shared" si="8"/>
        <v>&lt;G1P&gt;`     Ease of access</v>
      </c>
    </row>
    <row r="68" spans="1:10" ht="15.75" x14ac:dyDescent="0.25">
      <c r="A68" s="102" t="s">
        <v>939</v>
      </c>
      <c r="B68" s="103" t="s">
        <v>891</v>
      </c>
      <c r="C68" t="s">
        <v>6</v>
      </c>
      <c r="D68" t="s">
        <v>323</v>
      </c>
      <c r="E68" t="s">
        <v>322</v>
      </c>
      <c r="F68" t="s">
        <v>327</v>
      </c>
      <c r="G68" t="str">
        <f t="shared" si="6"/>
        <v>2124+2125</v>
      </c>
      <c r="H68" t="str">
        <f t="shared" si="7"/>
        <v>`QUICK PAYMENT (NET)&lt;Q&gt;</v>
      </c>
      <c r="J68" t="str">
        <f t="shared" si="8"/>
        <v>`QUICK PAYMENT (NET)&lt;Q&gt;</v>
      </c>
    </row>
    <row r="69" spans="1:10" x14ac:dyDescent="0.25">
      <c r="A69" s="102">
        <v>2124</v>
      </c>
      <c r="B69" s="104" t="s">
        <v>892</v>
      </c>
      <c r="C69" t="s">
        <v>16</v>
      </c>
      <c r="D69" t="s">
        <v>318</v>
      </c>
      <c r="F69" t="s">
        <v>326</v>
      </c>
      <c r="G69">
        <f t="shared" si="6"/>
        <v>2124</v>
      </c>
      <c r="H69" t="str">
        <f t="shared" si="7"/>
        <v>`     Payment can be made quickly</v>
      </c>
      <c r="I69" t="s">
        <v>520</v>
      </c>
      <c r="J69" t="str">
        <f t="shared" si="8"/>
        <v>&lt;G2B&gt;&lt;G1P&gt;`     Payment can be made quickly</v>
      </c>
    </row>
    <row r="70" spans="1:10" x14ac:dyDescent="0.25">
      <c r="A70" s="102">
        <v>2125</v>
      </c>
      <c r="B70" s="104" t="s">
        <v>893</v>
      </c>
      <c r="C70" t="s">
        <v>16</v>
      </c>
      <c r="D70" t="s">
        <v>318</v>
      </c>
      <c r="F70" t="s">
        <v>326</v>
      </c>
      <c r="G70">
        <f t="shared" si="6"/>
        <v>2125</v>
      </c>
      <c r="H70" t="str">
        <f t="shared" si="7"/>
        <v>`     Payment for load</v>
      </c>
      <c r="I70" t="s">
        <v>521</v>
      </c>
      <c r="J70" t="str">
        <f t="shared" si="8"/>
        <v>&lt;G2E&gt;&lt;G1P&gt;`     Payment for load</v>
      </c>
    </row>
    <row r="71" spans="1:10" ht="28.5" x14ac:dyDescent="0.25">
      <c r="A71" s="102" t="s">
        <v>940</v>
      </c>
      <c r="B71" s="103" t="s">
        <v>894</v>
      </c>
      <c r="C71" t="s">
        <v>6</v>
      </c>
      <c r="D71" t="s">
        <v>323</v>
      </c>
      <c r="E71" t="s">
        <v>322</v>
      </c>
      <c r="F71" t="s">
        <v>327</v>
      </c>
      <c r="G71" t="str">
        <f t="shared" si="6"/>
        <v>2126+2127+2128+2129+2130+2141+2143+2151+2168+2192+2193+2196</v>
      </c>
      <c r="H71" t="str">
        <f t="shared" si="7"/>
        <v>`EASY TO LOAD (NET)&lt;Q&gt;</v>
      </c>
      <c r="J71" t="str">
        <f t="shared" si="8"/>
        <v>`EASY TO LOAD (NET)&lt;Q&gt;</v>
      </c>
    </row>
    <row r="72" spans="1:10" x14ac:dyDescent="0.25">
      <c r="A72" s="102">
        <v>2126</v>
      </c>
      <c r="B72" s="104" t="s">
        <v>752</v>
      </c>
      <c r="C72" t="s">
        <v>16</v>
      </c>
      <c r="D72" t="s">
        <v>318</v>
      </c>
      <c r="F72" t="s">
        <v>326</v>
      </c>
      <c r="G72">
        <f t="shared" si="6"/>
        <v>2126</v>
      </c>
      <c r="H72" t="str">
        <f t="shared" si="7"/>
        <v>`     Easy to load</v>
      </c>
      <c r="I72" t="s">
        <v>520</v>
      </c>
      <c r="J72" t="str">
        <f t="shared" si="8"/>
        <v>&lt;G2B&gt;&lt;G1P&gt;`     Easy to load</v>
      </c>
    </row>
    <row r="73" spans="1:10" x14ac:dyDescent="0.25">
      <c r="A73" s="102">
        <v>2127</v>
      </c>
      <c r="B73" s="104" t="s">
        <v>895</v>
      </c>
      <c r="C73" t="s">
        <v>16</v>
      </c>
      <c r="D73" t="s">
        <v>318</v>
      </c>
      <c r="F73" t="s">
        <v>326</v>
      </c>
      <c r="G73">
        <f t="shared" si="6"/>
        <v>2127</v>
      </c>
      <c r="H73" t="str">
        <f t="shared" si="7"/>
        <v>`     Easy to load using GCash app</v>
      </c>
      <c r="I73" t="s">
        <v>522</v>
      </c>
      <c r="J73" t="str">
        <f t="shared" si="8"/>
        <v>&lt;G1P&gt;`     Easy to load using GCash app</v>
      </c>
    </row>
    <row r="74" spans="1:10" x14ac:dyDescent="0.25">
      <c r="A74" s="102">
        <v>2128</v>
      </c>
      <c r="B74" s="104" t="s">
        <v>387</v>
      </c>
      <c r="C74" t="s">
        <v>16</v>
      </c>
      <c r="D74" t="s">
        <v>318</v>
      </c>
      <c r="F74" t="s">
        <v>326</v>
      </c>
      <c r="G74">
        <f t="shared" si="6"/>
        <v>2128</v>
      </c>
      <c r="H74" t="str">
        <f t="shared" si="7"/>
        <v>`     Easy to transact</v>
      </c>
      <c r="I74" t="s">
        <v>522</v>
      </c>
      <c r="J74" t="str">
        <f t="shared" si="8"/>
        <v>&lt;G1P&gt;`     Easy to transact</v>
      </c>
    </row>
    <row r="75" spans="1:10" x14ac:dyDescent="0.25">
      <c r="A75" s="102">
        <v>2129</v>
      </c>
      <c r="B75" s="104" t="s">
        <v>896</v>
      </c>
      <c r="C75" t="s">
        <v>16</v>
      </c>
      <c r="D75" t="s">
        <v>318</v>
      </c>
      <c r="F75" t="s">
        <v>326</v>
      </c>
      <c r="G75">
        <f t="shared" si="6"/>
        <v>2129</v>
      </c>
      <c r="H75" t="str">
        <f t="shared" si="7"/>
        <v>`     Easy to buy load using GCash</v>
      </c>
      <c r="I75" t="s">
        <v>522</v>
      </c>
      <c r="J75" t="str">
        <f t="shared" si="8"/>
        <v>&lt;G1P&gt;`     Easy to buy load using GCash</v>
      </c>
    </row>
    <row r="76" spans="1:10" x14ac:dyDescent="0.25">
      <c r="A76" s="102">
        <v>2130</v>
      </c>
      <c r="B76" s="104" t="s">
        <v>897</v>
      </c>
      <c r="C76" t="s">
        <v>16</v>
      </c>
      <c r="D76" t="s">
        <v>318</v>
      </c>
      <c r="F76" t="s">
        <v>326</v>
      </c>
      <c r="G76">
        <f t="shared" si="6"/>
        <v>2130</v>
      </c>
      <c r="H76" t="str">
        <f t="shared" si="7"/>
        <v>`     Buying load is made easier</v>
      </c>
      <c r="I76" t="s">
        <v>522</v>
      </c>
      <c r="J76" t="str">
        <f t="shared" si="8"/>
        <v>&lt;G1P&gt;`     Buying load is made easier</v>
      </c>
    </row>
    <row r="77" spans="1:10" x14ac:dyDescent="0.25">
      <c r="A77" s="105">
        <v>2141</v>
      </c>
      <c r="B77" s="106" t="s">
        <v>494</v>
      </c>
      <c r="C77" t="s">
        <v>16</v>
      </c>
      <c r="D77" t="s">
        <v>318</v>
      </c>
      <c r="F77" t="s">
        <v>326</v>
      </c>
      <c r="G77">
        <f t="shared" si="6"/>
        <v>2141</v>
      </c>
      <c r="H77" t="str">
        <f t="shared" si="7"/>
        <v>`     Easy to use</v>
      </c>
      <c r="I77" t="s">
        <v>522</v>
      </c>
      <c r="J77" t="str">
        <f t="shared" si="8"/>
        <v>&lt;G1P&gt;`     Easy to use</v>
      </c>
    </row>
    <row r="78" spans="1:10" x14ac:dyDescent="0.25">
      <c r="A78" s="105">
        <v>2143</v>
      </c>
      <c r="B78" s="106" t="s">
        <v>898</v>
      </c>
      <c r="C78" t="s">
        <v>16</v>
      </c>
      <c r="D78" t="s">
        <v>318</v>
      </c>
      <c r="F78" t="s">
        <v>326</v>
      </c>
      <c r="G78">
        <f t="shared" si="6"/>
        <v>2143</v>
      </c>
      <c r="H78" t="str">
        <f t="shared" si="7"/>
        <v>`     Easy to navigate</v>
      </c>
      <c r="I78" t="s">
        <v>522</v>
      </c>
      <c r="J78" t="str">
        <f t="shared" si="8"/>
        <v>&lt;G1P&gt;`     Easy to navigate</v>
      </c>
    </row>
    <row r="79" spans="1:10" x14ac:dyDescent="0.25">
      <c r="A79" s="105">
        <v>2151</v>
      </c>
      <c r="B79" s="106" t="s">
        <v>899</v>
      </c>
      <c r="C79" t="s">
        <v>16</v>
      </c>
      <c r="D79" t="s">
        <v>318</v>
      </c>
      <c r="F79" t="s">
        <v>326</v>
      </c>
      <c r="G79">
        <f t="shared" si="6"/>
        <v>2151</v>
      </c>
      <c r="H79" t="str">
        <f t="shared" si="7"/>
        <v>`     Easy to receive load on GCash</v>
      </c>
      <c r="I79" t="s">
        <v>522</v>
      </c>
      <c r="J79" t="str">
        <f t="shared" si="8"/>
        <v>&lt;G1P&gt;`     Easy to receive load on GCash</v>
      </c>
    </row>
    <row r="80" spans="1:10" x14ac:dyDescent="0.25">
      <c r="A80" s="105">
        <v>2168</v>
      </c>
      <c r="B80" s="106" t="s">
        <v>900</v>
      </c>
      <c r="C80" t="s">
        <v>16</v>
      </c>
      <c r="D80" t="s">
        <v>318</v>
      </c>
      <c r="F80" t="s">
        <v>326</v>
      </c>
      <c r="G80">
        <f t="shared" si="6"/>
        <v>2168</v>
      </c>
      <c r="H80" t="str">
        <f t="shared" si="7"/>
        <v>`     Easy processing</v>
      </c>
      <c r="I80" t="s">
        <v>522</v>
      </c>
      <c r="J80" t="str">
        <f t="shared" si="8"/>
        <v>&lt;G1P&gt;`     Easy processing</v>
      </c>
    </row>
    <row r="81" spans="1:10" x14ac:dyDescent="0.25">
      <c r="A81" s="113">
        <v>2192</v>
      </c>
      <c r="B81" s="114" t="s">
        <v>901</v>
      </c>
      <c r="C81" t="s">
        <v>16</v>
      </c>
      <c r="D81" t="s">
        <v>318</v>
      </c>
      <c r="F81" t="s">
        <v>326</v>
      </c>
      <c r="G81">
        <f t="shared" si="6"/>
        <v>2192</v>
      </c>
      <c r="H81" t="str">
        <f t="shared" si="7"/>
        <v>`     No hassle to load</v>
      </c>
      <c r="I81" t="s">
        <v>522</v>
      </c>
      <c r="J81" t="str">
        <f t="shared" si="8"/>
        <v>&lt;G1P&gt;`     No hassle to load</v>
      </c>
    </row>
    <row r="82" spans="1:10" x14ac:dyDescent="0.25">
      <c r="A82" s="113">
        <v>2193</v>
      </c>
      <c r="B82" s="114" t="s">
        <v>902</v>
      </c>
      <c r="C82" t="s">
        <v>16</v>
      </c>
      <c r="D82" t="s">
        <v>318</v>
      </c>
      <c r="F82" t="s">
        <v>326</v>
      </c>
      <c r="G82">
        <f t="shared" si="6"/>
        <v>2193</v>
      </c>
      <c r="H82" t="str">
        <f t="shared" si="7"/>
        <v>`     There is always a load</v>
      </c>
      <c r="I82" t="s">
        <v>522</v>
      </c>
      <c r="J82" t="str">
        <f t="shared" si="8"/>
        <v>&lt;G1P&gt;`     There is always a load</v>
      </c>
    </row>
    <row r="83" spans="1:10" x14ac:dyDescent="0.25">
      <c r="A83" s="113">
        <v>2196</v>
      </c>
      <c r="B83" s="114" t="s">
        <v>903</v>
      </c>
      <c r="C83" t="s">
        <v>16</v>
      </c>
      <c r="D83" t="s">
        <v>318</v>
      </c>
      <c r="F83" t="s">
        <v>326</v>
      </c>
      <c r="G83">
        <f t="shared" si="6"/>
        <v>2196</v>
      </c>
      <c r="H83" t="str">
        <f t="shared" si="7"/>
        <v>`     You won't have to go out to load</v>
      </c>
      <c r="I83" t="s">
        <v>521</v>
      </c>
      <c r="J83" t="str">
        <f t="shared" si="8"/>
        <v>&lt;G2E&gt;&lt;G1P&gt;`     You won't have to go out to load</v>
      </c>
    </row>
    <row r="84" spans="1:10" ht="31.5" x14ac:dyDescent="0.25">
      <c r="A84" s="102" t="s">
        <v>941</v>
      </c>
      <c r="B84" s="103" t="s">
        <v>651</v>
      </c>
      <c r="C84" t="s">
        <v>6</v>
      </c>
      <c r="D84" t="s">
        <v>323</v>
      </c>
      <c r="E84" t="s">
        <v>322</v>
      </c>
      <c r="F84" t="s">
        <v>327</v>
      </c>
      <c r="G84" t="str">
        <f t="shared" si="6"/>
        <v>2131+2132+2133+2171+2159</v>
      </c>
      <c r="H84" t="str">
        <f t="shared" si="7"/>
        <v>`CAN USE GCASH ANYWHERE/ANYTIME (NET)&lt;Q&gt;</v>
      </c>
      <c r="J84" t="str">
        <f t="shared" si="8"/>
        <v>`CAN USE GCASH ANYWHERE/ANYTIME (NET)&lt;Q&gt;</v>
      </c>
    </row>
    <row r="85" spans="1:10" x14ac:dyDescent="0.25">
      <c r="A85" s="102">
        <v>2131</v>
      </c>
      <c r="B85" s="104" t="s">
        <v>904</v>
      </c>
      <c r="C85" t="s">
        <v>16</v>
      </c>
      <c r="D85" t="s">
        <v>318</v>
      </c>
      <c r="F85" t="s">
        <v>326</v>
      </c>
      <c r="G85">
        <f t="shared" si="6"/>
        <v>2131</v>
      </c>
      <c r="H85" t="str">
        <f t="shared" si="7"/>
        <v>`     Buy load anytime anywhere</v>
      </c>
      <c r="I85" t="s">
        <v>520</v>
      </c>
      <c r="J85" t="str">
        <f t="shared" si="8"/>
        <v>&lt;G2B&gt;&lt;G1P&gt;`     Buy load anytime anywhere</v>
      </c>
    </row>
    <row r="86" spans="1:10" x14ac:dyDescent="0.25">
      <c r="A86" s="102">
        <v>2132</v>
      </c>
      <c r="B86" s="104" t="s">
        <v>905</v>
      </c>
      <c r="C86" t="s">
        <v>16</v>
      </c>
      <c r="D86" t="s">
        <v>318</v>
      </c>
      <c r="F86" t="s">
        <v>326</v>
      </c>
      <c r="G86">
        <f t="shared" si="6"/>
        <v>2132</v>
      </c>
      <c r="H86" t="str">
        <f t="shared" si="7"/>
        <v>`     Fast transaction anytime anywhere</v>
      </c>
      <c r="I86" t="s">
        <v>522</v>
      </c>
      <c r="J86" t="str">
        <f t="shared" si="8"/>
        <v>&lt;G1P&gt;`     Fast transaction anytime anywhere</v>
      </c>
    </row>
    <row r="87" spans="1:10" x14ac:dyDescent="0.25">
      <c r="A87" s="102">
        <v>2133</v>
      </c>
      <c r="B87" s="104" t="s">
        <v>906</v>
      </c>
      <c r="C87" t="s">
        <v>16</v>
      </c>
      <c r="D87" t="s">
        <v>318</v>
      </c>
      <c r="F87" t="s">
        <v>326</v>
      </c>
      <c r="G87">
        <f t="shared" si="6"/>
        <v>2133</v>
      </c>
      <c r="H87" t="str">
        <f t="shared" si="7"/>
        <v>`     GCash is everywhere</v>
      </c>
      <c r="I87" t="s">
        <v>522</v>
      </c>
      <c r="J87" t="str">
        <f t="shared" si="8"/>
        <v>&lt;G1P&gt;`     GCash is everywhere</v>
      </c>
    </row>
    <row r="88" spans="1:10" x14ac:dyDescent="0.25">
      <c r="A88" s="105">
        <v>2171</v>
      </c>
      <c r="B88" s="106" t="s">
        <v>907</v>
      </c>
      <c r="C88" t="s">
        <v>16</v>
      </c>
      <c r="D88" t="s">
        <v>318</v>
      </c>
      <c r="F88" t="s">
        <v>326</v>
      </c>
      <c r="G88">
        <f t="shared" si="6"/>
        <v>2171</v>
      </c>
      <c r="H88" t="str">
        <f t="shared" si="7"/>
        <v>`     Load using Gcash anytime, anywhere</v>
      </c>
      <c r="I88" t="s">
        <v>522</v>
      </c>
      <c r="J88" t="str">
        <f t="shared" si="8"/>
        <v>&lt;G1P&gt;`     Load using Gcash anytime, anywhere</v>
      </c>
    </row>
    <row r="89" spans="1:10" x14ac:dyDescent="0.25">
      <c r="A89" s="105">
        <v>2159</v>
      </c>
      <c r="B89" s="106" t="s">
        <v>908</v>
      </c>
      <c r="C89" t="s">
        <v>16</v>
      </c>
      <c r="D89" t="s">
        <v>318</v>
      </c>
      <c r="F89" t="s">
        <v>326</v>
      </c>
      <c r="G89">
        <f t="shared" si="6"/>
        <v>2159</v>
      </c>
      <c r="H89" t="str">
        <f t="shared" si="7"/>
        <v>`     GCash on online transaction</v>
      </c>
      <c r="I89" t="s">
        <v>521</v>
      </c>
      <c r="J89" t="str">
        <f t="shared" si="8"/>
        <v>&lt;G2E&gt;&lt;G1P&gt;`     GCash on online transaction</v>
      </c>
    </row>
    <row r="90" spans="1:10" ht="15.75" x14ac:dyDescent="0.25">
      <c r="A90" s="102" t="s">
        <v>942</v>
      </c>
      <c r="B90" s="103" t="s">
        <v>909</v>
      </c>
      <c r="C90" t="s">
        <v>6</v>
      </c>
      <c r="D90" t="s">
        <v>323</v>
      </c>
      <c r="E90" t="s">
        <v>322</v>
      </c>
      <c r="F90" t="s">
        <v>327</v>
      </c>
      <c r="G90" t="str">
        <f t="shared" si="6"/>
        <v>2149+2150</v>
      </c>
      <c r="H90" t="str">
        <f t="shared" si="7"/>
        <v>`RELIABILITY (NET)&lt;Q&gt;</v>
      </c>
      <c r="J90" t="str">
        <f t="shared" si="8"/>
        <v>`RELIABILITY (NET)&lt;Q&gt;</v>
      </c>
    </row>
    <row r="91" spans="1:10" x14ac:dyDescent="0.25">
      <c r="A91" s="105">
        <v>2149</v>
      </c>
      <c r="B91" s="106" t="s">
        <v>910</v>
      </c>
      <c r="C91" t="s">
        <v>16</v>
      </c>
      <c r="D91" t="s">
        <v>318</v>
      </c>
      <c r="F91" t="s">
        <v>326</v>
      </c>
      <c r="G91">
        <f t="shared" si="6"/>
        <v>2149</v>
      </c>
      <c r="H91" t="str">
        <f t="shared" si="7"/>
        <v>`     Reliable to use GCash</v>
      </c>
      <c r="I91" t="s">
        <v>520</v>
      </c>
      <c r="J91" t="str">
        <f t="shared" si="8"/>
        <v>&lt;G2B&gt;&lt;G1P&gt;`     Reliable to use GCash</v>
      </c>
    </row>
    <row r="92" spans="1:10" x14ac:dyDescent="0.25">
      <c r="A92" s="105">
        <v>2150</v>
      </c>
      <c r="B92" s="106" t="s">
        <v>911</v>
      </c>
      <c r="C92" t="s">
        <v>16</v>
      </c>
      <c r="D92" t="s">
        <v>318</v>
      </c>
      <c r="F92" t="s">
        <v>326</v>
      </c>
      <c r="G92">
        <f t="shared" si="6"/>
        <v>2150</v>
      </c>
      <c r="H92" t="str">
        <f t="shared" si="7"/>
        <v>`     GCash is reliable on loading</v>
      </c>
      <c r="I92" t="s">
        <v>521</v>
      </c>
      <c r="J92" t="str">
        <f t="shared" si="8"/>
        <v>&lt;G2E&gt;&lt;G1P&gt;`     GCash is reliable on loading</v>
      </c>
    </row>
    <row r="93" spans="1:10" ht="15.75" x14ac:dyDescent="0.25">
      <c r="A93" s="102">
        <v>2139</v>
      </c>
      <c r="B93" s="103" t="s">
        <v>912</v>
      </c>
      <c r="C93" t="s">
        <v>6</v>
      </c>
      <c r="D93" t="s">
        <v>323</v>
      </c>
      <c r="E93" t="s">
        <v>322</v>
      </c>
      <c r="F93" t="s">
        <v>327</v>
      </c>
      <c r="G93">
        <f t="shared" si="6"/>
        <v>2139</v>
      </c>
      <c r="H93" t="str">
        <f t="shared" si="7"/>
        <v>`ABOUT GCASH (NET)&lt;Q&gt;</v>
      </c>
      <c r="J93" t="str">
        <f t="shared" si="8"/>
        <v>`ABOUT GCASH (NET)&lt;Q&gt;</v>
      </c>
    </row>
    <row r="94" spans="1:10" x14ac:dyDescent="0.25">
      <c r="A94" s="105">
        <v>2139</v>
      </c>
      <c r="B94" s="106" t="s">
        <v>470</v>
      </c>
      <c r="C94" t="s">
        <v>16</v>
      </c>
      <c r="D94" t="s">
        <v>318</v>
      </c>
      <c r="F94" t="s">
        <v>326</v>
      </c>
      <c r="G94">
        <f t="shared" si="6"/>
        <v>2139</v>
      </c>
      <c r="H94" t="str">
        <f t="shared" si="7"/>
        <v>`     About GCash</v>
      </c>
      <c r="I94" t="s">
        <v>522</v>
      </c>
      <c r="J94" t="str">
        <f t="shared" si="8"/>
        <v>&lt;G1P&gt;`     About GCash</v>
      </c>
    </row>
    <row r="95" spans="1:10" ht="15.75" x14ac:dyDescent="0.25">
      <c r="A95" s="102" t="s">
        <v>943</v>
      </c>
      <c r="B95" s="103" t="s">
        <v>764</v>
      </c>
      <c r="C95" t="s">
        <v>6</v>
      </c>
      <c r="D95" t="s">
        <v>323</v>
      </c>
      <c r="E95" t="s">
        <v>322</v>
      </c>
      <c r="F95" t="s">
        <v>327</v>
      </c>
      <c r="G95" t="str">
        <f t="shared" si="6"/>
        <v>2178+2179</v>
      </c>
      <c r="H95" t="str">
        <f t="shared" si="7"/>
        <v>`GCASH PROMOTION (NET)&lt;Q&gt;</v>
      </c>
      <c r="I95" t="s">
        <v>519</v>
      </c>
      <c r="J95" t="str">
        <f t="shared" si="8"/>
        <v>&lt;G1E&gt;`GCASH PROMOTION (NET)&lt;Q&gt;</v>
      </c>
    </row>
    <row r="96" spans="1:10" x14ac:dyDescent="0.25">
      <c r="A96" s="105">
        <v>2178</v>
      </c>
      <c r="B96" s="106" t="s">
        <v>913</v>
      </c>
      <c r="C96" t="s">
        <v>16</v>
      </c>
      <c r="D96" t="s">
        <v>318</v>
      </c>
      <c r="F96" t="s">
        <v>326</v>
      </c>
      <c r="G96">
        <f t="shared" si="6"/>
        <v>2178</v>
      </c>
      <c r="H96" t="str">
        <f t="shared" si="7"/>
        <v>`     Encouraging people to use GCash</v>
      </c>
      <c r="I96" t="s">
        <v>520</v>
      </c>
      <c r="J96" t="str">
        <f t="shared" si="8"/>
        <v>&lt;G2B&gt;&lt;G1P&gt;`     Encouraging people to use GCash</v>
      </c>
    </row>
    <row r="97" spans="1:10" x14ac:dyDescent="0.25">
      <c r="A97" s="105">
        <v>2179</v>
      </c>
      <c r="B97" s="106" t="s">
        <v>914</v>
      </c>
      <c r="C97" t="s">
        <v>16</v>
      </c>
      <c r="D97" t="s">
        <v>318</v>
      </c>
      <c r="F97" t="s">
        <v>326</v>
      </c>
      <c r="G97">
        <f t="shared" si="6"/>
        <v>2179</v>
      </c>
      <c r="H97" t="str">
        <f t="shared" si="7"/>
        <v>`     Advertising GCash</v>
      </c>
      <c r="I97" t="s">
        <v>521</v>
      </c>
      <c r="J97" t="str">
        <f t="shared" si="8"/>
        <v>&lt;G2E&gt;&lt;G1P&gt;`     Advertising GCash</v>
      </c>
    </row>
    <row r="98" spans="1:10" ht="28.5" x14ac:dyDescent="0.25">
      <c r="A98" s="102" t="s">
        <v>944</v>
      </c>
      <c r="B98" s="103" t="s">
        <v>332</v>
      </c>
      <c r="C98" t="s">
        <v>6</v>
      </c>
      <c r="D98" t="s">
        <v>323</v>
      </c>
      <c r="E98" t="s">
        <v>322</v>
      </c>
      <c r="F98" t="s">
        <v>327</v>
      </c>
      <c r="G98" t="str">
        <f t="shared" ref="G98:G123" si="9">IF(A98="","",A98)</f>
        <v>2134+2135+2136+2137+2160+2189+2194+2197+2199+2200</v>
      </c>
      <c r="H98" t="str">
        <f t="shared" ref="H98:H123" si="10">_xlfn.CONCAT(D98,SUBSTITUTE(B98,"""","`"""),E98)</f>
        <v>`OTHERS (NET)&lt;Q&gt;</v>
      </c>
      <c r="J98" t="str">
        <f t="shared" ref="J98:J123" si="11">_xlfn.CONCAT(I98,H98)</f>
        <v>`OTHERS (NET)&lt;Q&gt;</v>
      </c>
    </row>
    <row r="99" spans="1:10" x14ac:dyDescent="0.25">
      <c r="A99" s="102">
        <v>2134</v>
      </c>
      <c r="B99" s="104" t="s">
        <v>915</v>
      </c>
      <c r="C99" t="s">
        <v>16</v>
      </c>
      <c r="D99" t="s">
        <v>318</v>
      </c>
      <c r="F99" t="s">
        <v>326</v>
      </c>
      <c r="G99">
        <f t="shared" si="9"/>
        <v>2134</v>
      </c>
      <c r="H99" t="str">
        <f t="shared" si="10"/>
        <v>`     Amazing</v>
      </c>
      <c r="I99" t="s">
        <v>520</v>
      </c>
      <c r="J99" t="str">
        <f t="shared" si="11"/>
        <v>&lt;G2B&gt;&lt;G1P&gt;`     Amazing</v>
      </c>
    </row>
    <row r="100" spans="1:10" x14ac:dyDescent="0.25">
      <c r="A100" s="102">
        <v>2135</v>
      </c>
      <c r="B100" s="104" t="s">
        <v>916</v>
      </c>
      <c r="C100" t="s">
        <v>16</v>
      </c>
      <c r="D100" t="s">
        <v>318</v>
      </c>
      <c r="F100" t="s">
        <v>326</v>
      </c>
      <c r="G100">
        <f t="shared" si="9"/>
        <v>2135</v>
      </c>
      <c r="H100" t="str">
        <f t="shared" si="10"/>
        <v>`     Need load</v>
      </c>
      <c r="I100" t="s">
        <v>522</v>
      </c>
      <c r="J100" t="str">
        <f t="shared" si="11"/>
        <v>&lt;G1P&gt;`     Need load</v>
      </c>
    </row>
    <row r="101" spans="1:10" x14ac:dyDescent="0.25">
      <c r="A101" s="102">
        <v>2136</v>
      </c>
      <c r="B101" s="104" t="s">
        <v>917</v>
      </c>
      <c r="C101" t="s">
        <v>16</v>
      </c>
      <c r="D101" t="s">
        <v>318</v>
      </c>
      <c r="F101" t="s">
        <v>326</v>
      </c>
      <c r="G101">
        <f t="shared" si="9"/>
        <v>2136</v>
      </c>
      <c r="H101" t="str">
        <f t="shared" si="10"/>
        <v>`     Dancing</v>
      </c>
      <c r="I101" t="s">
        <v>522</v>
      </c>
      <c r="J101" t="str">
        <f t="shared" si="11"/>
        <v>&lt;G1P&gt;`     Dancing</v>
      </c>
    </row>
    <row r="102" spans="1:10" x14ac:dyDescent="0.25">
      <c r="A102" s="102">
        <v>2137</v>
      </c>
      <c r="B102" s="104" t="s">
        <v>918</v>
      </c>
      <c r="C102" t="s">
        <v>16</v>
      </c>
      <c r="D102" t="s">
        <v>318</v>
      </c>
      <c r="F102" t="s">
        <v>326</v>
      </c>
      <c r="G102">
        <f t="shared" si="9"/>
        <v>2137</v>
      </c>
      <c r="H102" t="str">
        <f t="shared" si="10"/>
        <v>`     Using Tiktok</v>
      </c>
      <c r="I102" t="s">
        <v>522</v>
      </c>
      <c r="J102" t="str">
        <f t="shared" si="11"/>
        <v>&lt;G1P&gt;`     Using Tiktok</v>
      </c>
    </row>
    <row r="103" spans="1:10" x14ac:dyDescent="0.25">
      <c r="A103" s="105">
        <v>2160</v>
      </c>
      <c r="B103" s="106" t="s">
        <v>919</v>
      </c>
      <c r="C103" t="s">
        <v>16</v>
      </c>
      <c r="D103" t="s">
        <v>318</v>
      </c>
      <c r="F103" t="s">
        <v>326</v>
      </c>
      <c r="G103">
        <f t="shared" si="9"/>
        <v>2160</v>
      </c>
      <c r="H103" t="str">
        <f t="shared" si="10"/>
        <v>`     Good offer</v>
      </c>
      <c r="I103" t="s">
        <v>522</v>
      </c>
      <c r="J103" t="str">
        <f t="shared" si="11"/>
        <v>&lt;G1P&gt;`     Good offer</v>
      </c>
    </row>
    <row r="104" spans="1:10" x14ac:dyDescent="0.25">
      <c r="A104" s="105">
        <v>2189</v>
      </c>
      <c r="B104" s="106" t="s">
        <v>683</v>
      </c>
      <c r="C104" t="s">
        <v>16</v>
      </c>
      <c r="D104" t="s">
        <v>318</v>
      </c>
      <c r="F104" t="s">
        <v>326</v>
      </c>
      <c r="G104">
        <f t="shared" si="9"/>
        <v>2189</v>
      </c>
      <c r="H104" t="str">
        <f t="shared" si="10"/>
        <v>`     Can share load</v>
      </c>
      <c r="I104" t="s">
        <v>522</v>
      </c>
      <c r="J104" t="str">
        <f t="shared" si="11"/>
        <v>&lt;G1P&gt;`     Can share load</v>
      </c>
    </row>
    <row r="105" spans="1:10" x14ac:dyDescent="0.25">
      <c r="A105" s="113">
        <v>2194</v>
      </c>
      <c r="B105" s="114" t="s">
        <v>920</v>
      </c>
      <c r="C105" t="s">
        <v>16</v>
      </c>
      <c r="D105" t="s">
        <v>318</v>
      </c>
      <c r="F105" t="s">
        <v>326</v>
      </c>
      <c r="G105">
        <f t="shared" si="9"/>
        <v>2194</v>
      </c>
      <c r="H105" t="str">
        <f t="shared" si="10"/>
        <v>`     So that the load will not be wasted</v>
      </c>
      <c r="I105" t="s">
        <v>522</v>
      </c>
      <c r="J105" t="str">
        <f t="shared" si="11"/>
        <v>&lt;G1P&gt;`     So that the load will not be wasted</v>
      </c>
    </row>
    <row r="106" spans="1:10" x14ac:dyDescent="0.25">
      <c r="A106" s="113">
        <v>2197</v>
      </c>
      <c r="B106" s="114" t="s">
        <v>921</v>
      </c>
      <c r="C106" t="s">
        <v>16</v>
      </c>
      <c r="D106" t="s">
        <v>318</v>
      </c>
      <c r="F106" t="s">
        <v>326</v>
      </c>
      <c r="G106">
        <f t="shared" si="9"/>
        <v>2197</v>
      </c>
      <c r="H106" t="str">
        <f t="shared" si="10"/>
        <v>`     No extra charge</v>
      </c>
      <c r="I106" t="s">
        <v>522</v>
      </c>
      <c r="J106" t="str">
        <f t="shared" si="11"/>
        <v>&lt;G1P&gt;`     No extra charge</v>
      </c>
    </row>
    <row r="107" spans="1:10" x14ac:dyDescent="0.25">
      <c r="A107" s="113">
        <v>2199</v>
      </c>
      <c r="B107" s="114" t="s">
        <v>922</v>
      </c>
      <c r="C107" t="s">
        <v>16</v>
      </c>
      <c r="D107" t="s">
        <v>318</v>
      </c>
      <c r="F107" t="s">
        <v>326</v>
      </c>
      <c r="G107">
        <f t="shared" si="9"/>
        <v>2199</v>
      </c>
      <c r="H107" t="str">
        <f t="shared" si="10"/>
        <v>`     The extra service fee is small</v>
      </c>
      <c r="I107" t="s">
        <v>522</v>
      </c>
      <c r="J107" t="str">
        <f t="shared" si="11"/>
        <v>&lt;G1P&gt;`     The extra service fee is small</v>
      </c>
    </row>
    <row r="108" spans="1:10" x14ac:dyDescent="0.25">
      <c r="A108" s="113">
        <v>2200</v>
      </c>
      <c r="B108" s="114" t="s">
        <v>923</v>
      </c>
      <c r="C108" t="s">
        <v>16</v>
      </c>
      <c r="D108" t="s">
        <v>318</v>
      </c>
      <c r="F108" t="s">
        <v>326</v>
      </c>
      <c r="G108">
        <f t="shared" si="9"/>
        <v>2200</v>
      </c>
      <c r="H108" t="str">
        <f t="shared" si="10"/>
        <v>`     It shows that GCash helps us everyday use like load</v>
      </c>
      <c r="I108" t="s">
        <v>521</v>
      </c>
      <c r="J108" t="str">
        <f t="shared" si="11"/>
        <v>&lt;G2E&gt;&lt;G1P&gt;`     It shows that GCash helps us everyday use like load</v>
      </c>
    </row>
    <row r="109" spans="1:10" ht="28.5" x14ac:dyDescent="0.25">
      <c r="A109" s="102" t="s">
        <v>945</v>
      </c>
      <c r="B109" s="103" t="s">
        <v>331</v>
      </c>
      <c r="C109" t="s">
        <v>6</v>
      </c>
      <c r="D109" t="s">
        <v>323</v>
      </c>
      <c r="E109" t="s">
        <v>322</v>
      </c>
      <c r="F109" t="s">
        <v>327</v>
      </c>
      <c r="G109" t="str">
        <f t="shared" si="9"/>
        <v>2146+2153+2154+2155+2157+2162+2184+2175+2182</v>
      </c>
      <c r="H109" t="str">
        <f t="shared" si="10"/>
        <v>`VAGUE (NET)&lt;Q&gt;</v>
      </c>
      <c r="J109" t="str">
        <f t="shared" si="11"/>
        <v>`VAGUE (NET)&lt;Q&gt;</v>
      </c>
    </row>
    <row r="110" spans="1:10" x14ac:dyDescent="0.25">
      <c r="A110" s="105">
        <v>2146</v>
      </c>
      <c r="B110" s="106" t="s">
        <v>924</v>
      </c>
      <c r="C110" t="s">
        <v>16</v>
      </c>
      <c r="D110" t="s">
        <v>318</v>
      </c>
      <c r="F110" t="s">
        <v>326</v>
      </c>
      <c r="G110">
        <f t="shared" si="9"/>
        <v>2146</v>
      </c>
      <c r="H110" t="str">
        <f t="shared" si="10"/>
        <v>`     AD is okay</v>
      </c>
      <c r="I110" t="s">
        <v>520</v>
      </c>
      <c r="J110" t="str">
        <f t="shared" si="11"/>
        <v>&lt;G2B&gt;&lt;G1P&gt;`     AD is okay</v>
      </c>
    </row>
    <row r="111" spans="1:10" x14ac:dyDescent="0.25">
      <c r="A111" s="105">
        <v>2153</v>
      </c>
      <c r="B111" s="106" t="s">
        <v>925</v>
      </c>
      <c r="C111" t="s">
        <v>16</v>
      </c>
      <c r="D111" t="s">
        <v>318</v>
      </c>
      <c r="F111" t="s">
        <v>326</v>
      </c>
      <c r="G111">
        <f t="shared" si="9"/>
        <v>2153</v>
      </c>
      <c r="H111" t="str">
        <f t="shared" si="10"/>
        <v>`     Enjoy</v>
      </c>
      <c r="I111" t="s">
        <v>522</v>
      </c>
      <c r="J111" t="str">
        <f t="shared" si="11"/>
        <v>&lt;G1P&gt;`     Enjoy</v>
      </c>
    </row>
    <row r="112" spans="1:10" x14ac:dyDescent="0.25">
      <c r="A112" s="105">
        <v>2154</v>
      </c>
      <c r="B112" s="106" t="s">
        <v>926</v>
      </c>
      <c r="C112" t="s">
        <v>16</v>
      </c>
      <c r="D112" t="s">
        <v>318</v>
      </c>
      <c r="F112" t="s">
        <v>326</v>
      </c>
      <c r="G112">
        <f t="shared" si="9"/>
        <v>2154</v>
      </c>
      <c r="H112" t="str">
        <f t="shared" si="10"/>
        <v>`     Fun</v>
      </c>
      <c r="I112" t="s">
        <v>522</v>
      </c>
      <c r="J112" t="str">
        <f t="shared" si="11"/>
        <v>&lt;G1P&gt;`     Fun</v>
      </c>
    </row>
    <row r="113" spans="1:10" x14ac:dyDescent="0.25">
      <c r="A113" s="105">
        <v>2155</v>
      </c>
      <c r="B113" s="106" t="s">
        <v>927</v>
      </c>
      <c r="C113" t="s">
        <v>16</v>
      </c>
      <c r="D113" t="s">
        <v>318</v>
      </c>
      <c r="F113" t="s">
        <v>326</v>
      </c>
      <c r="G113">
        <f t="shared" si="9"/>
        <v>2155</v>
      </c>
      <c r="H113" t="str">
        <f t="shared" si="10"/>
        <v>`     Games/Gaming</v>
      </c>
      <c r="I113" t="s">
        <v>522</v>
      </c>
      <c r="J113" t="str">
        <f t="shared" si="11"/>
        <v>&lt;G1P&gt;`     Games/Gaming</v>
      </c>
    </row>
    <row r="114" spans="1:10" x14ac:dyDescent="0.25">
      <c r="A114" s="105">
        <v>2157</v>
      </c>
      <c r="B114" s="106" t="s">
        <v>787</v>
      </c>
      <c r="C114" t="s">
        <v>16</v>
      </c>
      <c r="D114" t="s">
        <v>318</v>
      </c>
      <c r="F114" t="s">
        <v>326</v>
      </c>
      <c r="G114">
        <f t="shared" si="9"/>
        <v>2157</v>
      </c>
      <c r="H114" t="str">
        <f t="shared" si="10"/>
        <v>`     Nice</v>
      </c>
      <c r="I114" t="s">
        <v>522</v>
      </c>
      <c r="J114" t="str">
        <f t="shared" si="11"/>
        <v>&lt;G1P&gt;`     Nice</v>
      </c>
    </row>
    <row r="115" spans="1:10" x14ac:dyDescent="0.25">
      <c r="A115" s="105">
        <v>2162</v>
      </c>
      <c r="B115" s="106" t="s">
        <v>928</v>
      </c>
      <c r="C115" t="s">
        <v>16</v>
      </c>
      <c r="D115" t="s">
        <v>318</v>
      </c>
      <c r="F115" t="s">
        <v>326</v>
      </c>
      <c r="G115">
        <f t="shared" si="9"/>
        <v>2162</v>
      </c>
      <c r="H115" t="str">
        <f t="shared" si="10"/>
        <v>`     Not needed</v>
      </c>
      <c r="I115" t="s">
        <v>522</v>
      </c>
      <c r="J115" t="str">
        <f t="shared" si="11"/>
        <v>&lt;G1P&gt;`     Not needed</v>
      </c>
    </row>
    <row r="116" spans="1:10" x14ac:dyDescent="0.25">
      <c r="A116" s="105">
        <v>2184</v>
      </c>
      <c r="B116" s="106" t="s">
        <v>929</v>
      </c>
      <c r="C116" t="s">
        <v>16</v>
      </c>
      <c r="D116" t="s">
        <v>318</v>
      </c>
      <c r="F116" t="s">
        <v>326</v>
      </c>
      <c r="G116">
        <f t="shared" si="9"/>
        <v>2184</v>
      </c>
      <c r="H116" t="str">
        <f t="shared" si="10"/>
        <v>`     Picture taken</v>
      </c>
      <c r="I116" t="s">
        <v>522</v>
      </c>
      <c r="J116" t="str">
        <f t="shared" si="11"/>
        <v>&lt;G1P&gt;`     Picture taken</v>
      </c>
    </row>
    <row r="117" spans="1:10" x14ac:dyDescent="0.25">
      <c r="A117" s="105">
        <v>2175</v>
      </c>
      <c r="B117" s="106" t="s">
        <v>930</v>
      </c>
      <c r="C117" t="s">
        <v>16</v>
      </c>
      <c r="D117" t="s">
        <v>318</v>
      </c>
      <c r="F117" t="s">
        <v>326</v>
      </c>
      <c r="G117">
        <f t="shared" si="9"/>
        <v>2175</v>
      </c>
      <c r="H117" t="str">
        <f t="shared" si="10"/>
        <v>`     Having salary</v>
      </c>
      <c r="I117" t="s">
        <v>522</v>
      </c>
      <c r="J117" t="str">
        <f t="shared" si="11"/>
        <v>&lt;G1P&gt;`     Having salary</v>
      </c>
    </row>
    <row r="118" spans="1:10" x14ac:dyDescent="0.25">
      <c r="A118" s="105">
        <v>2182</v>
      </c>
      <c r="B118" s="106" t="s">
        <v>931</v>
      </c>
      <c r="C118" t="s">
        <v>16</v>
      </c>
      <c r="D118" t="s">
        <v>318</v>
      </c>
      <c r="F118" t="s">
        <v>326</v>
      </c>
      <c r="G118">
        <f t="shared" si="9"/>
        <v>2182</v>
      </c>
      <c r="H118" t="str">
        <f t="shared" si="10"/>
        <v>`     They are shocked</v>
      </c>
      <c r="I118" t="s">
        <v>521</v>
      </c>
      <c r="J118" t="str">
        <f t="shared" si="11"/>
        <v>&lt;G2E&gt;&lt;G1P&gt;`     They are shocked</v>
      </c>
    </row>
    <row r="119" spans="1:10" x14ac:dyDescent="0.25">
      <c r="A119" s="105">
        <v>9994</v>
      </c>
      <c r="B119" s="106" t="s">
        <v>796</v>
      </c>
      <c r="G119">
        <f t="shared" si="9"/>
        <v>9994</v>
      </c>
      <c r="H119" t="str">
        <f t="shared" si="10"/>
        <v>No comment</v>
      </c>
      <c r="J119" t="str">
        <f t="shared" si="11"/>
        <v>No comment</v>
      </c>
    </row>
    <row r="120" spans="1:10" x14ac:dyDescent="0.25">
      <c r="A120" s="105" t="s">
        <v>932</v>
      </c>
      <c r="B120" s="106" t="s">
        <v>302</v>
      </c>
      <c r="G120" t="str">
        <f t="shared" si="9"/>
        <v>9996+9995</v>
      </c>
      <c r="H120" t="str">
        <f t="shared" si="10"/>
        <v>Can't say</v>
      </c>
      <c r="J120" t="str">
        <f t="shared" si="11"/>
        <v>Can't say</v>
      </c>
    </row>
    <row r="121" spans="1:10" x14ac:dyDescent="0.25">
      <c r="A121" s="105">
        <v>9997</v>
      </c>
      <c r="B121" s="106" t="s">
        <v>336</v>
      </c>
      <c r="G121">
        <f t="shared" si="9"/>
        <v>9997</v>
      </c>
      <c r="H121" t="str">
        <f t="shared" si="10"/>
        <v>Don't know</v>
      </c>
      <c r="J121" t="str">
        <f t="shared" si="11"/>
        <v>Don't know</v>
      </c>
    </row>
    <row r="122" spans="1:10" x14ac:dyDescent="0.25">
      <c r="A122" s="105">
        <v>9998</v>
      </c>
      <c r="B122" s="106" t="s">
        <v>797</v>
      </c>
      <c r="G122">
        <f t="shared" si="9"/>
        <v>9998</v>
      </c>
      <c r="H122" t="str">
        <f t="shared" si="10"/>
        <v>No idea</v>
      </c>
      <c r="J122" t="str">
        <f t="shared" si="11"/>
        <v>No idea</v>
      </c>
    </row>
    <row r="123" spans="1:10" x14ac:dyDescent="0.25">
      <c r="A123" s="105">
        <v>9999</v>
      </c>
      <c r="B123" s="106" t="s">
        <v>303</v>
      </c>
      <c r="G123">
        <f t="shared" si="9"/>
        <v>9999</v>
      </c>
      <c r="H123" t="str">
        <f t="shared" si="10"/>
        <v>None</v>
      </c>
      <c r="J123" t="str">
        <f t="shared" si="11"/>
        <v>None</v>
      </c>
    </row>
  </sheetData>
  <autoFilter ref="A1:C123" xr:uid="{C2FF8965-7304-4DC3-BD0A-DCCB012BBFFF}"/>
  <conditionalFormatting sqref="A1:A123">
    <cfRule type="duplicateValues" dxfId="97" priority="282"/>
    <cfRule type="duplicateValues" dxfId="96" priority="283"/>
    <cfRule type="duplicateValues" dxfId="95" priority="284"/>
    <cfRule type="duplicateValues" dxfId="94" priority="285"/>
    <cfRule type="duplicateValues" dxfId="93" priority="286"/>
  </conditionalFormatting>
  <conditionalFormatting sqref="B1:B123">
    <cfRule type="duplicateValues" dxfId="92" priority="292"/>
    <cfRule type="duplicateValues" dxfId="91" priority="293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BE589-6CC3-474D-AB03-17DED04CBEA1}">
  <sheetPr>
    <tabColor rgb="FF92D050"/>
  </sheetPr>
  <dimension ref="A1:J153"/>
  <sheetViews>
    <sheetView topLeftCell="A92" workbookViewId="0">
      <selection activeCell="G107" sqref="G107"/>
    </sheetView>
  </sheetViews>
  <sheetFormatPr defaultRowHeight="15" x14ac:dyDescent="0.25"/>
  <cols>
    <col min="1" max="1" width="20.5703125" customWidth="1"/>
    <col min="2" max="2" width="60.7109375" customWidth="1"/>
    <col min="8" max="8" width="25.5703125" customWidth="1"/>
  </cols>
  <sheetData>
    <row r="1" spans="1:10" x14ac:dyDescent="0.25">
      <c r="A1" s="29" t="s">
        <v>533</v>
      </c>
      <c r="B1" s="48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ht="42.75" x14ac:dyDescent="0.25">
      <c r="A2" s="16" t="s">
        <v>1051</v>
      </c>
      <c r="B2" s="150" t="s">
        <v>946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33" si="0">IF(A2="","",A2)</f>
        <v>2200+2201+2202+2281+2203+2237+2270+2274</v>
      </c>
      <c r="H2" t="str">
        <f t="shared" ref="H2:H33" si="1">_xlfn.CONCAT(D2,SUBSTITUTE(B2,"""","`"""),E2)</f>
        <v>`CAN LOAN IN GCASH (NET)&lt;Q&gt;</v>
      </c>
      <c r="I2" t="s">
        <v>518</v>
      </c>
      <c r="J2" t="str">
        <f t="shared" ref="J2:J33" si="2">_xlfn.CONCAT(I2,H2)</f>
        <v>&lt;G1B&gt;`CAN LOAN IN GCASH (NET)&lt;Q&gt;</v>
      </c>
    </row>
    <row r="3" spans="1:10" x14ac:dyDescent="0.25">
      <c r="A3" s="16">
        <v>2200</v>
      </c>
      <c r="B3" s="148" t="s">
        <v>947</v>
      </c>
      <c r="C3" t="s">
        <v>16</v>
      </c>
      <c r="D3" t="s">
        <v>318</v>
      </c>
      <c r="F3" t="s">
        <v>326</v>
      </c>
      <c r="G3">
        <f t="shared" si="0"/>
        <v>2200</v>
      </c>
      <c r="H3" t="str">
        <f t="shared" si="1"/>
        <v>`     Loan offer from GCash</v>
      </c>
      <c r="I3" t="s">
        <v>520</v>
      </c>
      <c r="J3" t="str">
        <f t="shared" si="2"/>
        <v>&lt;G2B&gt;&lt;G1P&gt;`     Loan offer from GCash</v>
      </c>
    </row>
    <row r="4" spans="1:10" x14ac:dyDescent="0.25">
      <c r="A4" s="16">
        <v>2201</v>
      </c>
      <c r="B4" s="148" t="s">
        <v>948</v>
      </c>
      <c r="C4" t="s">
        <v>16</v>
      </c>
      <c r="D4" t="s">
        <v>318</v>
      </c>
      <c r="F4" t="s">
        <v>326</v>
      </c>
      <c r="G4">
        <f t="shared" si="0"/>
        <v>2201</v>
      </c>
      <c r="H4" t="str">
        <f t="shared" si="1"/>
        <v>`     Can loan via GCash</v>
      </c>
      <c r="I4" t="s">
        <v>522</v>
      </c>
      <c r="J4" t="str">
        <f t="shared" si="2"/>
        <v>&lt;G1P&gt;`     Can loan via GCash</v>
      </c>
    </row>
    <row r="5" spans="1:10" x14ac:dyDescent="0.25">
      <c r="A5" s="16" t="s">
        <v>949</v>
      </c>
      <c r="B5" s="148" t="s">
        <v>950</v>
      </c>
      <c r="C5" t="s">
        <v>16</v>
      </c>
      <c r="D5" t="s">
        <v>318</v>
      </c>
      <c r="F5" t="s">
        <v>326</v>
      </c>
      <c r="G5" t="str">
        <f t="shared" si="0"/>
        <v>2202+2281</v>
      </c>
      <c r="H5" t="str">
        <f t="shared" si="1"/>
        <v>`     Encouraging people to loan from GCash</v>
      </c>
      <c r="I5" t="s">
        <v>522</v>
      </c>
      <c r="J5" t="str">
        <f t="shared" si="2"/>
        <v>&lt;G1P&gt;`     Encouraging people to loan from GCash</v>
      </c>
    </row>
    <row r="6" spans="1:10" x14ac:dyDescent="0.25">
      <c r="A6" s="16">
        <v>2203</v>
      </c>
      <c r="B6" s="148" t="s">
        <v>951</v>
      </c>
      <c r="C6" t="s">
        <v>16</v>
      </c>
      <c r="D6" t="s">
        <v>318</v>
      </c>
      <c r="F6" t="s">
        <v>326</v>
      </c>
      <c r="G6">
        <f t="shared" si="0"/>
        <v>2203</v>
      </c>
      <c r="H6" t="str">
        <f t="shared" si="1"/>
        <v>`     If you need money, GCash can help</v>
      </c>
      <c r="I6" t="s">
        <v>522</v>
      </c>
      <c r="J6" t="str">
        <f t="shared" si="2"/>
        <v>&lt;G1P&gt;`     If you need money, GCash can help</v>
      </c>
    </row>
    <row r="7" spans="1:10" x14ac:dyDescent="0.25">
      <c r="A7" s="26">
        <v>2237</v>
      </c>
      <c r="B7" s="149" t="s">
        <v>952</v>
      </c>
      <c r="C7" t="s">
        <v>16</v>
      </c>
      <c r="D7" t="s">
        <v>318</v>
      </c>
      <c r="F7" t="s">
        <v>326</v>
      </c>
      <c r="G7">
        <f t="shared" si="0"/>
        <v>2237</v>
      </c>
      <c r="H7" t="str">
        <f t="shared" si="1"/>
        <v>`     Can barrow money from Gcash app</v>
      </c>
      <c r="I7" t="s">
        <v>522</v>
      </c>
      <c r="J7" t="str">
        <f t="shared" si="2"/>
        <v>&lt;G1P&gt;`     Can barrow money from Gcash app</v>
      </c>
    </row>
    <row r="8" spans="1:10" x14ac:dyDescent="0.25">
      <c r="A8" s="24">
        <v>2270</v>
      </c>
      <c r="B8" s="151" t="s">
        <v>953</v>
      </c>
      <c r="C8" t="s">
        <v>16</v>
      </c>
      <c r="D8" t="s">
        <v>318</v>
      </c>
      <c r="F8" t="s">
        <v>326</v>
      </c>
      <c r="G8">
        <f t="shared" si="0"/>
        <v>2270</v>
      </c>
      <c r="H8" t="str">
        <f t="shared" si="1"/>
        <v>`     Can get a large loan according to your needs</v>
      </c>
      <c r="I8" t="s">
        <v>522</v>
      </c>
      <c r="J8" t="str">
        <f t="shared" si="2"/>
        <v>&lt;G1P&gt;`     Can get a large loan according to your needs</v>
      </c>
    </row>
    <row r="9" spans="1:10" x14ac:dyDescent="0.25">
      <c r="A9" s="24">
        <v>2274</v>
      </c>
      <c r="B9" s="151" t="s">
        <v>954</v>
      </c>
      <c r="C9" t="s">
        <v>16</v>
      </c>
      <c r="D9" t="s">
        <v>318</v>
      </c>
      <c r="F9" t="s">
        <v>326</v>
      </c>
      <c r="G9">
        <f t="shared" si="0"/>
        <v>2274</v>
      </c>
      <c r="H9" t="str">
        <f t="shared" si="1"/>
        <v>`     Can loan from GCash for any amount</v>
      </c>
      <c r="I9" t="s">
        <v>521</v>
      </c>
      <c r="J9" t="str">
        <f t="shared" si="2"/>
        <v>&lt;G2E&gt;&lt;G1P&gt;`     Can loan from GCash for any amount</v>
      </c>
    </row>
    <row r="10" spans="1:10" ht="31.5" x14ac:dyDescent="0.25">
      <c r="A10" s="16" t="s">
        <v>1052</v>
      </c>
      <c r="B10" s="150" t="s">
        <v>955</v>
      </c>
      <c r="C10" t="s">
        <v>6</v>
      </c>
      <c r="D10" t="s">
        <v>323</v>
      </c>
      <c r="E10" t="s">
        <v>322</v>
      </c>
      <c r="F10" t="s">
        <v>327</v>
      </c>
      <c r="G10" t="str">
        <f t="shared" si="0"/>
        <v>2204+2205+2206+2207+2208+2209</v>
      </c>
      <c r="H10" t="str">
        <f t="shared" si="1"/>
        <v>`CAN LOAN FROM GCASH FOR BIG TICKET ITEMS (NET)&lt;Q&gt;</v>
      </c>
      <c r="J10" t="str">
        <f t="shared" si="2"/>
        <v>`CAN LOAN FROM GCASH FOR BIG TICKET ITEMS (NET)&lt;Q&gt;</v>
      </c>
    </row>
    <row r="11" spans="1:10" x14ac:dyDescent="0.25">
      <c r="A11" s="16">
        <v>2204</v>
      </c>
      <c r="B11" s="148" t="s">
        <v>956</v>
      </c>
      <c r="C11" t="s">
        <v>16</v>
      </c>
      <c r="D11" t="s">
        <v>318</v>
      </c>
      <c r="F11" t="s">
        <v>326</v>
      </c>
      <c r="G11">
        <f t="shared" si="0"/>
        <v>2204</v>
      </c>
      <c r="H11" t="str">
        <f t="shared" si="1"/>
        <v>`     Can loan from GCash to buy a new table</v>
      </c>
      <c r="I11" t="s">
        <v>520</v>
      </c>
      <c r="J11" t="str">
        <f t="shared" si="2"/>
        <v>&lt;G2B&gt;&lt;G1P&gt;`     Can loan from GCash to buy a new table</v>
      </c>
    </row>
    <row r="12" spans="1:10" x14ac:dyDescent="0.25">
      <c r="A12" s="16">
        <v>2205</v>
      </c>
      <c r="B12" s="148" t="s">
        <v>957</v>
      </c>
      <c r="C12" t="s">
        <v>16</v>
      </c>
      <c r="D12" t="s">
        <v>318</v>
      </c>
      <c r="F12" t="s">
        <v>326</v>
      </c>
      <c r="G12">
        <f t="shared" si="0"/>
        <v>2205</v>
      </c>
      <c r="H12" t="str">
        <f t="shared" si="1"/>
        <v>`     Can loan for house construction</v>
      </c>
      <c r="I12" t="s">
        <v>522</v>
      </c>
      <c r="J12" t="str">
        <f t="shared" si="2"/>
        <v>&lt;G1P&gt;`     Can loan for house construction</v>
      </c>
    </row>
    <row r="13" spans="1:10" x14ac:dyDescent="0.25">
      <c r="A13" s="16">
        <v>2206</v>
      </c>
      <c r="B13" s="148" t="s">
        <v>958</v>
      </c>
      <c r="C13" t="s">
        <v>16</v>
      </c>
      <c r="D13" t="s">
        <v>318</v>
      </c>
      <c r="F13" t="s">
        <v>326</v>
      </c>
      <c r="G13">
        <f t="shared" si="0"/>
        <v>2206</v>
      </c>
      <c r="H13" t="str">
        <f t="shared" si="1"/>
        <v>`     Was able to buy a rice cooker because of Gloan</v>
      </c>
      <c r="I13" t="s">
        <v>522</v>
      </c>
      <c r="J13" t="str">
        <f t="shared" si="2"/>
        <v>&lt;G1P&gt;`     Was able to buy a rice cooker because of Gloan</v>
      </c>
    </row>
    <row r="14" spans="1:10" ht="28.5" x14ac:dyDescent="0.25">
      <c r="A14" s="30">
        <v>2207</v>
      </c>
      <c r="B14" s="148" t="s">
        <v>959</v>
      </c>
      <c r="C14" t="s">
        <v>16</v>
      </c>
      <c r="D14" t="s">
        <v>318</v>
      </c>
      <c r="F14" t="s">
        <v>326</v>
      </c>
      <c r="G14">
        <f t="shared" si="0"/>
        <v>2207</v>
      </c>
      <c r="H14" t="str">
        <f t="shared" si="1"/>
        <v>`     Can loan from GCash when needed to replace broken appliances</v>
      </c>
      <c r="I14" t="s">
        <v>522</v>
      </c>
      <c r="J14" t="str">
        <f t="shared" si="2"/>
        <v>&lt;G1P&gt;`     Can loan from GCash when needed to replace broken appliances</v>
      </c>
    </row>
    <row r="15" spans="1:10" x14ac:dyDescent="0.25">
      <c r="A15" s="30">
        <v>2208</v>
      </c>
      <c r="B15" s="148" t="s">
        <v>960</v>
      </c>
      <c r="C15" t="s">
        <v>16</v>
      </c>
      <c r="D15" t="s">
        <v>318</v>
      </c>
      <c r="F15" t="s">
        <v>326</v>
      </c>
      <c r="G15">
        <f t="shared" si="0"/>
        <v>2208</v>
      </c>
      <c r="H15" t="str">
        <f t="shared" si="1"/>
        <v>`     Easy to replace broken appliances</v>
      </c>
      <c r="I15" t="s">
        <v>522</v>
      </c>
      <c r="J15" t="str">
        <f t="shared" si="2"/>
        <v>&lt;G1P&gt;`     Easy to replace broken appliances</v>
      </c>
    </row>
    <row r="16" spans="1:10" x14ac:dyDescent="0.25">
      <c r="A16" s="32">
        <v>2209</v>
      </c>
      <c r="B16" s="148" t="s">
        <v>961</v>
      </c>
      <c r="C16" t="s">
        <v>16</v>
      </c>
      <c r="D16" t="s">
        <v>318</v>
      </c>
      <c r="F16" t="s">
        <v>326</v>
      </c>
      <c r="G16">
        <f t="shared" si="0"/>
        <v>2209</v>
      </c>
      <c r="H16" t="str">
        <f t="shared" si="1"/>
        <v>`     Can buy new appliances through GLoan</v>
      </c>
      <c r="I16" t="s">
        <v>521</v>
      </c>
      <c r="J16" t="str">
        <f t="shared" si="2"/>
        <v>&lt;G2E&gt;&lt;G1P&gt;`     Can buy new appliances through GLoan</v>
      </c>
    </row>
    <row r="17" spans="1:10" ht="31.5" x14ac:dyDescent="0.25">
      <c r="A17" s="32" t="s">
        <v>1485</v>
      </c>
      <c r="B17" s="150" t="s">
        <v>962</v>
      </c>
      <c r="C17" t="s">
        <v>6</v>
      </c>
      <c r="D17" t="s">
        <v>323</v>
      </c>
      <c r="E17" t="s">
        <v>322</v>
      </c>
      <c r="F17" t="s">
        <v>327</v>
      </c>
      <c r="G17" t="str">
        <f t="shared" si="0"/>
        <v>2210+2211+2212+2213+2248+2272</v>
      </c>
      <c r="H17" t="str">
        <f t="shared" si="1"/>
        <v>`CAN LOAN FROM GCASH IN TIMES OF EMERGENCY (NET)&lt;Q&gt;</v>
      </c>
      <c r="J17" t="str">
        <f t="shared" si="2"/>
        <v>`CAN LOAN FROM GCASH IN TIMES OF EMERGENCY (NET)&lt;Q&gt;</v>
      </c>
    </row>
    <row r="18" spans="1:10" x14ac:dyDescent="0.25">
      <c r="A18" s="32">
        <v>2210</v>
      </c>
      <c r="B18" s="148" t="s">
        <v>963</v>
      </c>
      <c r="C18" t="s">
        <v>16</v>
      </c>
      <c r="D18" t="s">
        <v>318</v>
      </c>
      <c r="F18" t="s">
        <v>326</v>
      </c>
      <c r="G18">
        <f t="shared" si="0"/>
        <v>2210</v>
      </c>
      <c r="H18" t="str">
        <f t="shared" si="1"/>
        <v>`     Can loan from GCash in times of emergency</v>
      </c>
      <c r="I18" t="s">
        <v>520</v>
      </c>
      <c r="J18" t="str">
        <f t="shared" si="2"/>
        <v>&lt;G2B&gt;&lt;G1P&gt;`     Can loan from GCash in times of emergency</v>
      </c>
    </row>
    <row r="19" spans="1:10" ht="28.5" x14ac:dyDescent="0.25">
      <c r="A19" s="32">
        <v>2211</v>
      </c>
      <c r="B19" s="148" t="s">
        <v>964</v>
      </c>
      <c r="C19" t="s">
        <v>16</v>
      </c>
      <c r="D19" t="s">
        <v>318</v>
      </c>
      <c r="F19" t="s">
        <v>326</v>
      </c>
      <c r="G19">
        <f t="shared" si="0"/>
        <v>2211</v>
      </c>
      <c r="H19" t="str">
        <f t="shared" si="1"/>
        <v>`     GCash is a reliable brand in times of sudden problems</v>
      </c>
      <c r="I19" t="s">
        <v>522</v>
      </c>
      <c r="J19" t="str">
        <f t="shared" si="2"/>
        <v>&lt;G1P&gt;`     GCash is a reliable brand in times of sudden problems</v>
      </c>
    </row>
    <row r="20" spans="1:10" x14ac:dyDescent="0.25">
      <c r="A20" s="32">
        <v>2212</v>
      </c>
      <c r="B20" s="148" t="s">
        <v>965</v>
      </c>
      <c r="C20" t="s">
        <v>16</v>
      </c>
      <c r="D20" t="s">
        <v>318</v>
      </c>
      <c r="F20" t="s">
        <v>326</v>
      </c>
      <c r="G20">
        <f t="shared" si="0"/>
        <v>2212</v>
      </c>
      <c r="H20" t="str">
        <f t="shared" si="1"/>
        <v>`     GCash is a reliable brand in times of emergency</v>
      </c>
      <c r="I20" t="s">
        <v>522</v>
      </c>
      <c r="J20" t="str">
        <f t="shared" si="2"/>
        <v>&lt;G1P&gt;`     GCash is a reliable brand in times of emergency</v>
      </c>
    </row>
    <row r="21" spans="1:10" x14ac:dyDescent="0.25">
      <c r="A21" s="32">
        <v>2213</v>
      </c>
      <c r="B21" s="148" t="s">
        <v>735</v>
      </c>
      <c r="C21" t="s">
        <v>16</v>
      </c>
      <c r="D21" t="s">
        <v>318</v>
      </c>
      <c r="F21" t="s">
        <v>326</v>
      </c>
      <c r="G21">
        <f t="shared" si="0"/>
        <v>2213</v>
      </c>
      <c r="H21" t="str">
        <f t="shared" si="1"/>
        <v>`     GCash is reliable</v>
      </c>
      <c r="I21" t="s">
        <v>522</v>
      </c>
      <c r="J21" t="str">
        <f t="shared" si="2"/>
        <v>&lt;G1P&gt;`     GCash is reliable</v>
      </c>
    </row>
    <row r="22" spans="1:10" x14ac:dyDescent="0.25">
      <c r="A22" s="85">
        <v>2248</v>
      </c>
      <c r="B22" s="149" t="s">
        <v>966</v>
      </c>
      <c r="C22" t="s">
        <v>16</v>
      </c>
      <c r="D22" t="s">
        <v>318</v>
      </c>
      <c r="F22" t="s">
        <v>326</v>
      </c>
      <c r="G22">
        <f t="shared" si="0"/>
        <v>2248</v>
      </c>
      <c r="H22" t="str">
        <f t="shared" si="1"/>
        <v>`     Can get loan in times of emergency</v>
      </c>
      <c r="I22" t="s">
        <v>522</v>
      </c>
      <c r="J22" t="str">
        <f t="shared" si="2"/>
        <v>&lt;G1P&gt;`     Can get loan in times of emergency</v>
      </c>
    </row>
    <row r="23" spans="1:10" x14ac:dyDescent="0.25">
      <c r="A23" s="24">
        <v>2272</v>
      </c>
      <c r="B23" s="151" t="s">
        <v>986</v>
      </c>
      <c r="C23" t="s">
        <v>16</v>
      </c>
      <c r="D23" t="s">
        <v>318</v>
      </c>
      <c r="F23" t="s">
        <v>326</v>
      </c>
      <c r="G23">
        <f t="shared" si="0"/>
        <v>2272</v>
      </c>
      <c r="H23" t="str">
        <f t="shared" si="1"/>
        <v>`     GLoan helps with financial matters</v>
      </c>
      <c r="I23" t="s">
        <v>521</v>
      </c>
      <c r="J23" t="str">
        <f t="shared" si="2"/>
        <v>&lt;G2E&gt;&lt;G1P&gt;`     GLoan helps with financial matters</v>
      </c>
    </row>
    <row r="24" spans="1:10" ht="15.75" x14ac:dyDescent="0.25">
      <c r="A24" s="32">
        <v>2214</v>
      </c>
      <c r="B24" s="150" t="s">
        <v>967</v>
      </c>
      <c r="C24" t="s">
        <v>6</v>
      </c>
      <c r="D24" t="s">
        <v>323</v>
      </c>
      <c r="E24" t="s">
        <v>322</v>
      </c>
      <c r="F24" t="s">
        <v>327</v>
      </c>
      <c r="G24">
        <f t="shared" si="0"/>
        <v>2214</v>
      </c>
      <c r="H24" t="str">
        <f t="shared" si="1"/>
        <v>`A LOT OF EXPENSES (NET)&lt;Q&gt;</v>
      </c>
      <c r="J24" t="str">
        <f t="shared" si="2"/>
        <v>`A LOT OF EXPENSES (NET)&lt;Q&gt;</v>
      </c>
    </row>
    <row r="25" spans="1:10" x14ac:dyDescent="0.25">
      <c r="A25" s="32">
        <v>2214</v>
      </c>
      <c r="B25" s="148" t="s">
        <v>968</v>
      </c>
      <c r="C25" t="s">
        <v>16</v>
      </c>
      <c r="D25" t="s">
        <v>318</v>
      </c>
      <c r="F25" t="s">
        <v>326</v>
      </c>
      <c r="G25">
        <f t="shared" si="0"/>
        <v>2214</v>
      </c>
      <c r="H25" t="str">
        <f t="shared" si="1"/>
        <v>`     There are a lot of expenses</v>
      </c>
      <c r="I25" t="s">
        <v>522</v>
      </c>
      <c r="J25" t="str">
        <f t="shared" si="2"/>
        <v>&lt;G1P&gt;`     There are a lot of expenses</v>
      </c>
    </row>
    <row r="26" spans="1:10" ht="31.5" x14ac:dyDescent="0.25">
      <c r="A26" s="32" t="s">
        <v>1053</v>
      </c>
      <c r="B26" s="150" t="s">
        <v>969</v>
      </c>
      <c r="C26" t="s">
        <v>6</v>
      </c>
      <c r="D26" t="s">
        <v>323</v>
      </c>
      <c r="E26" t="s">
        <v>322</v>
      </c>
      <c r="F26" t="s">
        <v>327</v>
      </c>
      <c r="G26" t="str">
        <f t="shared" si="0"/>
        <v>2215+2241+2243+2285</v>
      </c>
      <c r="H26" t="str">
        <f t="shared" si="1"/>
        <v>`RELIABLE BRAND WHEN NEEDED A LOAN (NET)&lt;Q&gt;</v>
      </c>
      <c r="J26" t="str">
        <f t="shared" si="2"/>
        <v>`RELIABLE BRAND WHEN NEEDED A LOAN (NET)&lt;Q&gt;</v>
      </c>
    </row>
    <row r="27" spans="1:10" ht="28.5" x14ac:dyDescent="0.25">
      <c r="A27" s="32">
        <v>2215</v>
      </c>
      <c r="B27" s="148" t="s">
        <v>970</v>
      </c>
      <c r="C27" t="s">
        <v>16</v>
      </c>
      <c r="D27" t="s">
        <v>318</v>
      </c>
      <c r="F27" t="s">
        <v>326</v>
      </c>
      <c r="G27">
        <f t="shared" si="0"/>
        <v>2215</v>
      </c>
      <c r="H27" t="str">
        <f t="shared" si="1"/>
        <v>`     Reminds me that I can rely to GCash when I need a loan</v>
      </c>
      <c r="I27" t="s">
        <v>520</v>
      </c>
      <c r="J27" t="str">
        <f t="shared" si="2"/>
        <v>&lt;G2B&gt;&lt;G1P&gt;`     Reminds me that I can rely to GCash when I need a loan</v>
      </c>
    </row>
    <row r="28" spans="1:10" x14ac:dyDescent="0.25">
      <c r="A28" s="85">
        <v>2241</v>
      </c>
      <c r="B28" s="149" t="s">
        <v>971</v>
      </c>
      <c r="C28" t="s">
        <v>16</v>
      </c>
      <c r="D28" t="s">
        <v>318</v>
      </c>
      <c r="F28" t="s">
        <v>326</v>
      </c>
      <c r="G28">
        <f t="shared" si="0"/>
        <v>2241</v>
      </c>
      <c r="H28" t="str">
        <f t="shared" si="1"/>
        <v>`     Reliable on loan</v>
      </c>
      <c r="I28" t="s">
        <v>522</v>
      </c>
      <c r="J28" t="str">
        <f t="shared" si="2"/>
        <v>&lt;G1P&gt;`     Reliable on loan</v>
      </c>
    </row>
    <row r="29" spans="1:10" x14ac:dyDescent="0.25">
      <c r="A29" s="85">
        <v>2243</v>
      </c>
      <c r="B29" s="149" t="s">
        <v>972</v>
      </c>
      <c r="C29" t="s">
        <v>16</v>
      </c>
      <c r="D29" t="s">
        <v>318</v>
      </c>
      <c r="F29" t="s">
        <v>326</v>
      </c>
      <c r="G29">
        <f t="shared" si="0"/>
        <v>2243</v>
      </c>
      <c r="H29" t="str">
        <f t="shared" si="1"/>
        <v>`     Reliable in time of need of money</v>
      </c>
      <c r="I29" t="s">
        <v>522</v>
      </c>
      <c r="J29" t="str">
        <f t="shared" si="2"/>
        <v>&lt;G1P&gt;`     Reliable in time of need of money</v>
      </c>
    </row>
    <row r="30" spans="1:10" x14ac:dyDescent="0.25">
      <c r="A30" s="153">
        <v>2285</v>
      </c>
      <c r="B30" s="152" t="s">
        <v>973</v>
      </c>
      <c r="C30" t="s">
        <v>16</v>
      </c>
      <c r="D30" t="s">
        <v>318</v>
      </c>
      <c r="F30" t="s">
        <v>326</v>
      </c>
      <c r="G30">
        <f t="shared" si="0"/>
        <v>2285</v>
      </c>
      <c r="H30" t="str">
        <f t="shared" si="1"/>
        <v>`     GCash is reliable for expenses</v>
      </c>
      <c r="I30" t="s">
        <v>521</v>
      </c>
      <c r="J30" t="str">
        <f t="shared" si="2"/>
        <v>&lt;G2E&gt;&lt;G1P&gt;`     GCash is reliable for expenses</v>
      </c>
    </row>
    <row r="31" spans="1:10" ht="15.75" x14ac:dyDescent="0.25">
      <c r="A31" s="32">
        <v>2216</v>
      </c>
      <c r="B31" s="150" t="s">
        <v>974</v>
      </c>
      <c r="C31" t="s">
        <v>6</v>
      </c>
      <c r="D31" t="s">
        <v>323</v>
      </c>
      <c r="E31" t="s">
        <v>322</v>
      </c>
      <c r="F31" t="s">
        <v>327</v>
      </c>
      <c r="G31">
        <f t="shared" si="0"/>
        <v>2216</v>
      </c>
      <c r="H31" t="str">
        <f t="shared" si="1"/>
        <v>`GGIVES (NET)&lt;Q&gt;</v>
      </c>
      <c r="J31" t="str">
        <f t="shared" si="2"/>
        <v>`GGIVES (NET)&lt;Q&gt;</v>
      </c>
    </row>
    <row r="32" spans="1:10" x14ac:dyDescent="0.25">
      <c r="A32" s="32">
        <v>2216</v>
      </c>
      <c r="B32" s="148" t="s">
        <v>975</v>
      </c>
      <c r="C32" t="s">
        <v>16</v>
      </c>
      <c r="D32" t="s">
        <v>318</v>
      </c>
      <c r="F32" t="s">
        <v>326</v>
      </c>
      <c r="G32">
        <f t="shared" si="0"/>
        <v>2216</v>
      </c>
      <c r="H32" t="str">
        <f t="shared" si="1"/>
        <v>`     Ease of access and load through GGives</v>
      </c>
      <c r="I32" t="s">
        <v>522</v>
      </c>
      <c r="J32" t="str">
        <f t="shared" si="2"/>
        <v>&lt;G1P&gt;`     Ease of access and load through GGives</v>
      </c>
    </row>
    <row r="33" spans="1:10" ht="15.75" x14ac:dyDescent="0.25">
      <c r="A33" s="32" t="s">
        <v>1486</v>
      </c>
      <c r="B33" s="150" t="s">
        <v>976</v>
      </c>
      <c r="C33" t="s">
        <v>6</v>
      </c>
      <c r="D33" t="s">
        <v>323</v>
      </c>
      <c r="E33" t="s">
        <v>322</v>
      </c>
      <c r="F33" t="s">
        <v>327</v>
      </c>
      <c r="G33" t="str">
        <f t="shared" si="0"/>
        <v>2217+2218+2219+2235+2239+2253+2254+2255+2257+2280+2283</v>
      </c>
      <c r="H33" t="str">
        <f t="shared" si="1"/>
        <v>`MENTIONS OF GLOAN (NET)&lt;Q&gt;</v>
      </c>
      <c r="J33" t="str">
        <f t="shared" si="2"/>
        <v>`MENTIONS OF GLOAN (NET)&lt;Q&gt;</v>
      </c>
    </row>
    <row r="34" spans="1:10" x14ac:dyDescent="0.25">
      <c r="A34" s="16">
        <v>2217</v>
      </c>
      <c r="B34" s="148" t="s">
        <v>977</v>
      </c>
      <c r="C34" t="s">
        <v>16</v>
      </c>
      <c r="D34" t="s">
        <v>318</v>
      </c>
      <c r="F34" t="s">
        <v>326</v>
      </c>
      <c r="G34">
        <f t="shared" ref="G34:G65" si="3">IF(A34="","",A34)</f>
        <v>2217</v>
      </c>
      <c r="H34" t="str">
        <f t="shared" ref="H34:H65" si="4">_xlfn.CONCAT(D34,SUBSTITUTE(B34,"""","`"""),E34)</f>
        <v>`     GLoan</v>
      </c>
      <c r="I34" t="s">
        <v>520</v>
      </c>
      <c r="J34" t="str">
        <f t="shared" ref="J34:J65" si="5">_xlfn.CONCAT(I34,H34)</f>
        <v>&lt;G2B&gt;&lt;G1P&gt;`     GLoan</v>
      </c>
    </row>
    <row r="35" spans="1:10" x14ac:dyDescent="0.25">
      <c r="A35" s="16">
        <v>2218</v>
      </c>
      <c r="B35" s="148" t="s">
        <v>978</v>
      </c>
      <c r="C35" t="s">
        <v>16</v>
      </c>
      <c r="D35" t="s">
        <v>318</v>
      </c>
      <c r="F35" t="s">
        <v>326</v>
      </c>
      <c r="G35">
        <f t="shared" si="3"/>
        <v>2218</v>
      </c>
      <c r="H35" t="str">
        <f t="shared" si="4"/>
        <v>`     Can loan via GLoan</v>
      </c>
      <c r="I35" t="s">
        <v>522</v>
      </c>
      <c r="J35" t="str">
        <f t="shared" si="5"/>
        <v>&lt;G1P&gt;`     Can loan via GLoan</v>
      </c>
    </row>
    <row r="36" spans="1:10" x14ac:dyDescent="0.25">
      <c r="A36" s="16">
        <v>2219</v>
      </c>
      <c r="B36" s="148" t="s">
        <v>979</v>
      </c>
      <c r="C36" t="s">
        <v>16</v>
      </c>
      <c r="D36" t="s">
        <v>318</v>
      </c>
      <c r="F36" t="s">
        <v>326</v>
      </c>
      <c r="G36">
        <f t="shared" si="3"/>
        <v>2219</v>
      </c>
      <c r="H36" t="str">
        <f t="shared" si="4"/>
        <v>`     Use GLoan</v>
      </c>
      <c r="I36" t="s">
        <v>522</v>
      </c>
      <c r="J36" t="str">
        <f t="shared" si="5"/>
        <v>&lt;G1P&gt;`     Use GLoan</v>
      </c>
    </row>
    <row r="37" spans="1:10" x14ac:dyDescent="0.25">
      <c r="A37" s="26">
        <v>2235</v>
      </c>
      <c r="B37" s="149" t="s">
        <v>980</v>
      </c>
      <c r="C37" t="s">
        <v>16</v>
      </c>
      <c r="D37" t="s">
        <v>318</v>
      </c>
      <c r="F37" t="s">
        <v>326</v>
      </c>
      <c r="G37">
        <f t="shared" si="3"/>
        <v>2235</v>
      </c>
      <c r="H37" t="str">
        <f t="shared" si="4"/>
        <v>`     GLoan on GCash</v>
      </c>
      <c r="I37" t="s">
        <v>522</v>
      </c>
      <c r="J37" t="str">
        <f t="shared" si="5"/>
        <v>&lt;G1P&gt;`     GLoan on GCash</v>
      </c>
    </row>
    <row r="38" spans="1:10" x14ac:dyDescent="0.25">
      <c r="A38" s="26">
        <v>2239</v>
      </c>
      <c r="B38" s="149" t="s">
        <v>981</v>
      </c>
      <c r="C38" t="s">
        <v>16</v>
      </c>
      <c r="D38" t="s">
        <v>318</v>
      </c>
      <c r="F38" t="s">
        <v>326</v>
      </c>
      <c r="G38">
        <f t="shared" si="3"/>
        <v>2239</v>
      </c>
      <c r="H38" t="str">
        <f t="shared" si="4"/>
        <v>`     GLoan on barrowing money from GCash</v>
      </c>
      <c r="I38" t="s">
        <v>522</v>
      </c>
      <c r="J38" t="str">
        <f t="shared" si="5"/>
        <v>&lt;G1P&gt;`     GLoan on barrowing money from GCash</v>
      </c>
    </row>
    <row r="39" spans="1:10" x14ac:dyDescent="0.25">
      <c r="A39" s="26">
        <v>2253</v>
      </c>
      <c r="B39" s="149" t="s">
        <v>982</v>
      </c>
      <c r="C39" t="s">
        <v>16</v>
      </c>
      <c r="D39" t="s">
        <v>318</v>
      </c>
      <c r="F39" t="s">
        <v>326</v>
      </c>
      <c r="G39">
        <f t="shared" si="3"/>
        <v>2253</v>
      </c>
      <c r="H39" t="str">
        <f t="shared" si="4"/>
        <v>`     Can loan on GLoan for all expenses</v>
      </c>
      <c r="I39" t="s">
        <v>522</v>
      </c>
      <c r="J39" t="str">
        <f t="shared" si="5"/>
        <v>&lt;G1P&gt;`     Can loan on GLoan for all expenses</v>
      </c>
    </row>
    <row r="40" spans="1:10" x14ac:dyDescent="0.25">
      <c r="A40" s="26">
        <v>2254</v>
      </c>
      <c r="B40" s="149" t="s">
        <v>983</v>
      </c>
      <c r="C40" t="s">
        <v>16</v>
      </c>
      <c r="D40" t="s">
        <v>318</v>
      </c>
      <c r="F40" t="s">
        <v>326</v>
      </c>
      <c r="G40">
        <f t="shared" si="3"/>
        <v>2254</v>
      </c>
      <c r="H40" t="str">
        <f t="shared" si="4"/>
        <v>`     Can loan cash using GLoan</v>
      </c>
      <c r="I40" t="s">
        <v>522</v>
      </c>
      <c r="J40" t="str">
        <f t="shared" si="5"/>
        <v>&lt;G1P&gt;`     Can loan cash using GLoan</v>
      </c>
    </row>
    <row r="41" spans="1:10" x14ac:dyDescent="0.25">
      <c r="A41" s="26">
        <v>2255</v>
      </c>
      <c r="B41" s="149" t="s">
        <v>984</v>
      </c>
      <c r="C41" t="s">
        <v>16</v>
      </c>
      <c r="D41" t="s">
        <v>318</v>
      </c>
      <c r="F41" t="s">
        <v>326</v>
      </c>
      <c r="G41">
        <f t="shared" si="3"/>
        <v>2255</v>
      </c>
      <c r="H41" t="str">
        <f t="shared" si="4"/>
        <v>`     Can loan on GCash using GLoan</v>
      </c>
      <c r="I41" t="s">
        <v>522</v>
      </c>
      <c r="J41" t="str">
        <f t="shared" si="5"/>
        <v>&lt;G1P&gt;`     Can loan on GCash using GLoan</v>
      </c>
    </row>
    <row r="42" spans="1:10" x14ac:dyDescent="0.25">
      <c r="A42" s="26">
        <v>2257</v>
      </c>
      <c r="B42" s="149" t="s">
        <v>985</v>
      </c>
      <c r="C42" t="s">
        <v>16</v>
      </c>
      <c r="D42" t="s">
        <v>318</v>
      </c>
      <c r="F42" t="s">
        <v>326</v>
      </c>
      <c r="G42">
        <f t="shared" si="3"/>
        <v>2257</v>
      </c>
      <c r="H42" t="str">
        <f t="shared" si="4"/>
        <v>`     Theres is Gloan in times of need</v>
      </c>
      <c r="I42" t="s">
        <v>522</v>
      </c>
      <c r="J42" t="str">
        <f t="shared" si="5"/>
        <v>&lt;G1P&gt;`     Theres is Gloan in times of need</v>
      </c>
    </row>
    <row r="43" spans="1:10" x14ac:dyDescent="0.25">
      <c r="A43" s="25">
        <v>2280</v>
      </c>
      <c r="B43" s="152" t="s">
        <v>991</v>
      </c>
      <c r="C43" t="s">
        <v>16</v>
      </c>
      <c r="D43" t="s">
        <v>318</v>
      </c>
      <c r="F43" t="s">
        <v>326</v>
      </c>
      <c r="G43">
        <f t="shared" si="3"/>
        <v>2280</v>
      </c>
      <c r="H43" t="str">
        <f t="shared" si="4"/>
        <v>`     Avail GLoan</v>
      </c>
      <c r="I43" t="s">
        <v>522</v>
      </c>
      <c r="J43" t="str">
        <f t="shared" si="5"/>
        <v>&lt;G1P&gt;`     Avail GLoan</v>
      </c>
    </row>
    <row r="44" spans="1:10" x14ac:dyDescent="0.25">
      <c r="A44" s="25">
        <v>2283</v>
      </c>
      <c r="B44" s="152" t="s">
        <v>1042</v>
      </c>
      <c r="C44" t="s">
        <v>16</v>
      </c>
      <c r="D44" t="s">
        <v>318</v>
      </c>
      <c r="F44" t="s">
        <v>326</v>
      </c>
      <c r="G44">
        <f t="shared" si="3"/>
        <v>2283</v>
      </c>
      <c r="H44" t="str">
        <f t="shared" si="4"/>
        <v>`     Can pay with gcash loan</v>
      </c>
      <c r="I44" t="s">
        <v>521</v>
      </c>
      <c r="J44" t="str">
        <f t="shared" si="5"/>
        <v>&lt;G2E&gt;&lt;G1P&gt;`     Can pay with gcash loan</v>
      </c>
    </row>
    <row r="45" spans="1:10" ht="31.5" x14ac:dyDescent="0.25">
      <c r="A45" s="16" t="s">
        <v>1487</v>
      </c>
      <c r="B45" s="150" t="s">
        <v>1483</v>
      </c>
      <c r="C45" t="s">
        <v>6</v>
      </c>
      <c r="D45" t="s">
        <v>323</v>
      </c>
      <c r="E45" t="s">
        <v>322</v>
      </c>
      <c r="F45" t="s">
        <v>327</v>
      </c>
      <c r="G45" t="str">
        <f t="shared" si="3"/>
        <v>2275+2273</v>
      </c>
      <c r="H45" t="str">
        <f t="shared" si="4"/>
        <v>`GAN GET INSTANT LOAN FROM GLOAN (NET)&lt;Q&gt;</v>
      </c>
      <c r="J45" t="str">
        <f t="shared" si="5"/>
        <v>`GAN GET INSTANT LOAN FROM GLOAN (NET)&lt;Q&gt;</v>
      </c>
    </row>
    <row r="46" spans="1:10" x14ac:dyDescent="0.25">
      <c r="A46" s="25">
        <v>2275</v>
      </c>
      <c r="B46" s="152" t="s">
        <v>987</v>
      </c>
      <c r="C46" t="s">
        <v>16</v>
      </c>
      <c r="D46" t="s">
        <v>318</v>
      </c>
      <c r="F46" t="s">
        <v>326</v>
      </c>
      <c r="G46">
        <f t="shared" si="3"/>
        <v>2275</v>
      </c>
      <c r="H46" t="str">
        <f t="shared" si="4"/>
        <v>`     Instant loan on GLoan from GCash</v>
      </c>
      <c r="I46" t="s">
        <v>520</v>
      </c>
      <c r="J46" t="str">
        <f t="shared" si="5"/>
        <v>&lt;G2B&gt;&lt;G1P&gt;`     Instant loan on GLoan from GCash</v>
      </c>
    </row>
    <row r="47" spans="1:10" x14ac:dyDescent="0.25">
      <c r="A47" s="24">
        <v>2273</v>
      </c>
      <c r="B47" s="151" t="s">
        <v>1040</v>
      </c>
      <c r="C47" t="s">
        <v>16</v>
      </c>
      <c r="D47" t="s">
        <v>318</v>
      </c>
      <c r="F47" t="s">
        <v>326</v>
      </c>
      <c r="G47">
        <f t="shared" si="3"/>
        <v>2273</v>
      </c>
      <c r="H47" t="str">
        <f t="shared" si="4"/>
        <v>`     GLoan for instant access to cash</v>
      </c>
      <c r="I47" t="s">
        <v>521</v>
      </c>
      <c r="J47" t="str">
        <f t="shared" si="5"/>
        <v>&lt;G2E&gt;&lt;G1P&gt;`     GLoan for instant access to cash</v>
      </c>
    </row>
    <row r="48" spans="1:10" ht="15.75" x14ac:dyDescent="0.25">
      <c r="A48" s="16">
        <v>2220</v>
      </c>
      <c r="B48" s="150" t="s">
        <v>993</v>
      </c>
      <c r="C48" t="s">
        <v>6</v>
      </c>
      <c r="D48" t="s">
        <v>323</v>
      </c>
      <c r="E48" t="s">
        <v>322</v>
      </c>
      <c r="F48" t="s">
        <v>327</v>
      </c>
      <c r="G48">
        <f t="shared" si="3"/>
        <v>2220</v>
      </c>
      <c r="H48" t="str">
        <f t="shared" si="4"/>
        <v>`MENTIONS OF TAGLINE (NET)&lt;Q&gt;</v>
      </c>
      <c r="J48" t="str">
        <f t="shared" si="5"/>
        <v>`MENTIONS OF TAGLINE (NET)&lt;Q&gt;</v>
      </c>
    </row>
    <row r="49" spans="1:10" x14ac:dyDescent="0.25">
      <c r="A49" s="16">
        <v>2220</v>
      </c>
      <c r="B49" s="148" t="s">
        <v>994</v>
      </c>
      <c r="C49" t="s">
        <v>16</v>
      </c>
      <c r="D49" t="s">
        <v>318</v>
      </c>
      <c r="F49" t="s">
        <v>326</v>
      </c>
      <c r="G49">
        <f t="shared" si="3"/>
        <v>2220</v>
      </c>
      <c r="H49" t="str">
        <f t="shared" si="4"/>
        <v>`     `"Kaya today with Gloan`"</v>
      </c>
      <c r="I49" t="s">
        <v>522</v>
      </c>
      <c r="J49" t="str">
        <f t="shared" si="5"/>
        <v>&lt;G1P&gt;`     `"Kaya today with Gloan`"</v>
      </c>
    </row>
    <row r="50" spans="1:10" ht="42.75" x14ac:dyDescent="0.25">
      <c r="A50" s="16" t="s">
        <v>1488</v>
      </c>
      <c r="B50" s="150" t="s">
        <v>995</v>
      </c>
      <c r="C50" t="s">
        <v>6</v>
      </c>
      <c r="D50" t="s">
        <v>323</v>
      </c>
      <c r="E50" t="s">
        <v>322</v>
      </c>
      <c r="F50" t="s">
        <v>327</v>
      </c>
      <c r="G50" t="str">
        <f t="shared" si="3"/>
        <v>2221+2250+2256+2276+2277+2278+2265+2282+2290</v>
      </c>
      <c r="H50" t="str">
        <f t="shared" si="4"/>
        <v>`CAN LOAN FROM GCASH TO AUGMENT INCOME &amp; FOR EXPENSES (NET)&lt;Q&gt;</v>
      </c>
      <c r="J50" t="str">
        <f t="shared" si="5"/>
        <v>`CAN LOAN FROM GCASH TO AUGMENT INCOME &amp; FOR EXPENSES (NET)&lt;Q&gt;</v>
      </c>
    </row>
    <row r="51" spans="1:10" x14ac:dyDescent="0.25">
      <c r="A51" s="16">
        <v>2221</v>
      </c>
      <c r="B51" s="148" t="s">
        <v>996</v>
      </c>
      <c r="C51" t="s">
        <v>16</v>
      </c>
      <c r="D51" t="s">
        <v>318</v>
      </c>
      <c r="F51" t="s">
        <v>326</v>
      </c>
      <c r="G51">
        <f t="shared" si="3"/>
        <v>2221</v>
      </c>
      <c r="H51" t="str">
        <f t="shared" si="4"/>
        <v>`     Can loan via GCash to settle all my expenses</v>
      </c>
      <c r="I51" t="s">
        <v>520</v>
      </c>
      <c r="J51" t="str">
        <f t="shared" si="5"/>
        <v>&lt;G2B&gt;&lt;G1P&gt;`     Can loan via GCash to settle all my expenses</v>
      </c>
    </row>
    <row r="52" spans="1:10" x14ac:dyDescent="0.25">
      <c r="A52" s="26">
        <v>2250</v>
      </c>
      <c r="B52" s="149" t="s">
        <v>997</v>
      </c>
      <c r="C52" t="s">
        <v>16</v>
      </c>
      <c r="D52" t="s">
        <v>318</v>
      </c>
      <c r="F52" t="s">
        <v>326</v>
      </c>
      <c r="G52">
        <f t="shared" si="3"/>
        <v>2250</v>
      </c>
      <c r="H52" t="str">
        <f t="shared" si="4"/>
        <v>`     Can help in paying bills</v>
      </c>
      <c r="I52" t="s">
        <v>522</v>
      </c>
      <c r="J52" t="str">
        <f t="shared" si="5"/>
        <v>&lt;G1P&gt;`     Can help in paying bills</v>
      </c>
    </row>
    <row r="53" spans="1:10" x14ac:dyDescent="0.25">
      <c r="A53" s="26">
        <v>2256</v>
      </c>
      <c r="B53" s="149" t="s">
        <v>998</v>
      </c>
      <c r="C53" t="s">
        <v>16</v>
      </c>
      <c r="D53" t="s">
        <v>318</v>
      </c>
      <c r="F53" t="s">
        <v>326</v>
      </c>
      <c r="G53">
        <f t="shared" si="3"/>
        <v>2256</v>
      </c>
      <c r="H53" t="str">
        <f t="shared" si="4"/>
        <v>`     GCash to help in expenses</v>
      </c>
      <c r="I53" t="s">
        <v>522</v>
      </c>
      <c r="J53" t="str">
        <f t="shared" si="5"/>
        <v>&lt;G1P&gt;`     GCash to help in expenses</v>
      </c>
    </row>
    <row r="54" spans="1:10" x14ac:dyDescent="0.25">
      <c r="A54" s="25">
        <v>2276</v>
      </c>
      <c r="B54" s="152" t="s">
        <v>988</v>
      </c>
      <c r="C54" t="s">
        <v>16</v>
      </c>
      <c r="D54" t="s">
        <v>318</v>
      </c>
      <c r="F54" t="s">
        <v>326</v>
      </c>
      <c r="G54">
        <f t="shared" si="3"/>
        <v>2276</v>
      </c>
      <c r="H54" t="str">
        <f t="shared" si="4"/>
        <v>`     Multiple home expense can loan via GLoan</v>
      </c>
      <c r="I54" t="s">
        <v>522</v>
      </c>
      <c r="J54" t="str">
        <f t="shared" si="5"/>
        <v>&lt;G1P&gt;`     Multiple home expense can loan via GLoan</v>
      </c>
    </row>
    <row r="55" spans="1:10" x14ac:dyDescent="0.25">
      <c r="A55" s="25">
        <v>2277</v>
      </c>
      <c r="B55" s="152" t="s">
        <v>989</v>
      </c>
      <c r="C55" t="s">
        <v>16</v>
      </c>
      <c r="D55" t="s">
        <v>318</v>
      </c>
      <c r="F55" t="s">
        <v>326</v>
      </c>
      <c r="G55">
        <f t="shared" si="3"/>
        <v>2277</v>
      </c>
      <c r="H55" t="str">
        <f t="shared" si="4"/>
        <v>`     Mutiple paying bills can loan via GLoan</v>
      </c>
      <c r="I55" t="s">
        <v>522</v>
      </c>
      <c r="J55" t="str">
        <f t="shared" si="5"/>
        <v>&lt;G1P&gt;`     Mutiple paying bills can loan via GLoan</v>
      </c>
    </row>
    <row r="56" spans="1:10" x14ac:dyDescent="0.25">
      <c r="A56" s="25">
        <v>2278</v>
      </c>
      <c r="B56" s="152" t="s">
        <v>990</v>
      </c>
      <c r="C56" t="s">
        <v>16</v>
      </c>
      <c r="D56" t="s">
        <v>318</v>
      </c>
      <c r="F56" t="s">
        <v>326</v>
      </c>
      <c r="G56">
        <f t="shared" si="3"/>
        <v>2278</v>
      </c>
      <c r="H56" t="str">
        <f t="shared" si="4"/>
        <v>`     Multiple expenses can loan via GLoan</v>
      </c>
      <c r="I56" t="s">
        <v>522</v>
      </c>
      <c r="J56" t="str">
        <f t="shared" si="5"/>
        <v>&lt;G1P&gt;`     Multiple expenses can loan via GLoan</v>
      </c>
    </row>
    <row r="57" spans="1:10" x14ac:dyDescent="0.25">
      <c r="A57" s="24">
        <v>2265</v>
      </c>
      <c r="B57" s="151" t="s">
        <v>1039</v>
      </c>
      <c r="C57" t="s">
        <v>16</v>
      </c>
      <c r="D57" t="s">
        <v>318</v>
      </c>
      <c r="F57" t="s">
        <v>326</v>
      </c>
      <c r="G57">
        <f t="shared" si="3"/>
        <v>2265</v>
      </c>
      <c r="H57" t="str">
        <f t="shared" si="4"/>
        <v>`     Can use GCash for your home expenses</v>
      </c>
      <c r="I57" t="s">
        <v>522</v>
      </c>
      <c r="J57" t="str">
        <f t="shared" si="5"/>
        <v>&lt;G1P&gt;`     Can use GCash for your home expenses</v>
      </c>
    </row>
    <row r="58" spans="1:10" x14ac:dyDescent="0.25">
      <c r="A58" s="25">
        <v>2282</v>
      </c>
      <c r="B58" s="152" t="s">
        <v>1041</v>
      </c>
      <c r="C58" t="s">
        <v>16</v>
      </c>
      <c r="D58" t="s">
        <v>318</v>
      </c>
      <c r="F58" t="s">
        <v>326</v>
      </c>
      <c r="G58">
        <f t="shared" si="3"/>
        <v>2282</v>
      </c>
      <c r="H58" t="str">
        <f t="shared" si="4"/>
        <v>`     School loan</v>
      </c>
      <c r="I58" t="s">
        <v>522</v>
      </c>
      <c r="J58" t="str">
        <f t="shared" si="5"/>
        <v>&lt;G1P&gt;`     School loan</v>
      </c>
    </row>
    <row r="59" spans="1:10" x14ac:dyDescent="0.25">
      <c r="A59" s="25">
        <v>2290</v>
      </c>
      <c r="B59" s="152" t="s">
        <v>1047</v>
      </c>
      <c r="C59" t="s">
        <v>16</v>
      </c>
      <c r="D59" t="s">
        <v>318</v>
      </c>
      <c r="F59" t="s">
        <v>326</v>
      </c>
      <c r="G59">
        <f t="shared" si="3"/>
        <v>2290</v>
      </c>
      <c r="H59" t="str">
        <f t="shared" si="4"/>
        <v>`     Easy to get all your basic needs</v>
      </c>
      <c r="I59" t="s">
        <v>521</v>
      </c>
      <c r="J59" t="str">
        <f t="shared" si="5"/>
        <v>&lt;G2E&gt;&lt;G1P&gt;`     Easy to get all your basic needs</v>
      </c>
    </row>
    <row r="60" spans="1:10" ht="15.75" x14ac:dyDescent="0.25">
      <c r="A60" s="16" t="s">
        <v>1054</v>
      </c>
      <c r="B60" s="150" t="s">
        <v>999</v>
      </c>
      <c r="C60" t="s">
        <v>6</v>
      </c>
      <c r="D60" t="s">
        <v>323</v>
      </c>
      <c r="E60" t="s">
        <v>322</v>
      </c>
      <c r="F60" t="s">
        <v>327</v>
      </c>
      <c r="G60" t="str">
        <f t="shared" si="3"/>
        <v>2222+2240</v>
      </c>
      <c r="H60" t="str">
        <f t="shared" si="4"/>
        <v>`CAN GET LOAN FAST FROM GCASH (NET)&lt;Q&gt;</v>
      </c>
      <c r="J60" t="str">
        <f t="shared" si="5"/>
        <v>`CAN GET LOAN FAST FROM GCASH (NET)&lt;Q&gt;</v>
      </c>
    </row>
    <row r="61" spans="1:10" x14ac:dyDescent="0.25">
      <c r="A61" s="16">
        <v>2222</v>
      </c>
      <c r="B61" s="148" t="s">
        <v>1000</v>
      </c>
      <c r="C61" t="s">
        <v>16</v>
      </c>
      <c r="D61" t="s">
        <v>318</v>
      </c>
      <c r="F61" t="s">
        <v>326</v>
      </c>
      <c r="G61">
        <f t="shared" si="3"/>
        <v>2222</v>
      </c>
      <c r="H61" t="str">
        <f t="shared" si="4"/>
        <v>`     Can get loan fast from GCash</v>
      </c>
      <c r="I61" t="s">
        <v>520</v>
      </c>
      <c r="J61" t="str">
        <f t="shared" si="5"/>
        <v>&lt;G2B&gt;&lt;G1P&gt;`     Can get loan fast from GCash</v>
      </c>
    </row>
    <row r="62" spans="1:10" x14ac:dyDescent="0.25">
      <c r="A62" s="26">
        <v>2240</v>
      </c>
      <c r="B62" s="149" t="s">
        <v>1001</v>
      </c>
      <c r="C62" t="s">
        <v>16</v>
      </c>
      <c r="D62" t="s">
        <v>318</v>
      </c>
      <c r="F62" t="s">
        <v>326</v>
      </c>
      <c r="G62">
        <f t="shared" si="3"/>
        <v>2240</v>
      </c>
      <c r="H62" t="str">
        <f t="shared" si="4"/>
        <v>`     Fast approval of loan</v>
      </c>
      <c r="I62" t="s">
        <v>521</v>
      </c>
      <c r="J62" t="str">
        <f t="shared" si="5"/>
        <v>&lt;G2E&gt;&lt;G1P&gt;`     Fast approval of loan</v>
      </c>
    </row>
    <row r="63" spans="1:10" ht="15.75" x14ac:dyDescent="0.25">
      <c r="A63" s="16">
        <v>2223</v>
      </c>
      <c r="B63" s="150" t="s">
        <v>1002</v>
      </c>
      <c r="C63" t="s">
        <v>6</v>
      </c>
      <c r="D63" t="s">
        <v>323</v>
      </c>
      <c r="E63" t="s">
        <v>322</v>
      </c>
      <c r="F63" t="s">
        <v>327</v>
      </c>
      <c r="G63">
        <f t="shared" si="3"/>
        <v>2223</v>
      </c>
      <c r="H63" t="str">
        <f t="shared" si="4"/>
        <v>`LOW INTEREST (NET)&lt;Q&gt;</v>
      </c>
      <c r="J63" t="str">
        <f t="shared" si="5"/>
        <v>`LOW INTEREST (NET)&lt;Q&gt;</v>
      </c>
    </row>
    <row r="64" spans="1:10" x14ac:dyDescent="0.25">
      <c r="A64" s="16">
        <v>2223</v>
      </c>
      <c r="B64" s="148" t="s">
        <v>1003</v>
      </c>
      <c r="C64" t="s">
        <v>16</v>
      </c>
      <c r="D64" t="s">
        <v>318</v>
      </c>
      <c r="F64" t="s">
        <v>326</v>
      </c>
      <c r="G64">
        <f t="shared" si="3"/>
        <v>2223</v>
      </c>
      <c r="H64" t="str">
        <f t="shared" si="4"/>
        <v>`     Can loan with loan with low interest</v>
      </c>
      <c r="I64" t="s">
        <v>522</v>
      </c>
      <c r="J64" t="str">
        <f t="shared" si="5"/>
        <v>&lt;G1P&gt;`     Can loan with loan with low interest</v>
      </c>
    </row>
    <row r="65" spans="1:10" ht="15.75" x14ac:dyDescent="0.25">
      <c r="A65" s="16" t="s">
        <v>1055</v>
      </c>
      <c r="B65" s="150" t="s">
        <v>1004</v>
      </c>
      <c r="C65" t="s">
        <v>6</v>
      </c>
      <c r="D65" t="s">
        <v>323</v>
      </c>
      <c r="E65" t="s">
        <v>322</v>
      </c>
      <c r="F65" t="s">
        <v>327</v>
      </c>
      <c r="G65" t="str">
        <f t="shared" si="3"/>
        <v>2224+2234+2269</v>
      </c>
      <c r="H65" t="str">
        <f t="shared" si="4"/>
        <v>`FAST PROCESSING OF LOAN (NET)&lt;Q&gt;</v>
      </c>
      <c r="J65" t="str">
        <f t="shared" si="5"/>
        <v>`FAST PROCESSING OF LOAN (NET)&lt;Q&gt;</v>
      </c>
    </row>
    <row r="66" spans="1:10" x14ac:dyDescent="0.25">
      <c r="A66" s="16">
        <v>2224</v>
      </c>
      <c r="B66" s="148" t="s">
        <v>1005</v>
      </c>
      <c r="C66" t="s">
        <v>16</v>
      </c>
      <c r="D66" t="s">
        <v>318</v>
      </c>
      <c r="F66" t="s">
        <v>326</v>
      </c>
      <c r="G66">
        <f t="shared" ref="G66:G97" si="6">IF(A66="","",A66)</f>
        <v>2224</v>
      </c>
      <c r="H66" t="str">
        <f t="shared" ref="H66:H97" si="7">_xlfn.CONCAT(D66,SUBSTITUTE(B66,"""","`"""),E66)</f>
        <v>`     Fast processing of loan</v>
      </c>
      <c r="I66" t="s">
        <v>520</v>
      </c>
      <c r="J66" t="str">
        <f t="shared" ref="J66:J97" si="8">_xlfn.CONCAT(I66,H66)</f>
        <v>&lt;G2B&gt;&lt;G1P&gt;`     Fast processing of loan</v>
      </c>
    </row>
    <row r="67" spans="1:10" x14ac:dyDescent="0.25">
      <c r="A67" s="16">
        <v>2234</v>
      </c>
      <c r="B67" s="148" t="s">
        <v>1006</v>
      </c>
      <c r="C67" t="s">
        <v>16</v>
      </c>
      <c r="D67" t="s">
        <v>318</v>
      </c>
      <c r="F67" t="s">
        <v>326</v>
      </c>
      <c r="G67">
        <f t="shared" si="6"/>
        <v>2234</v>
      </c>
      <c r="H67" t="str">
        <f t="shared" si="7"/>
        <v>`     Fast processing of loan from GLoan</v>
      </c>
      <c r="I67" t="s">
        <v>522</v>
      </c>
      <c r="J67" t="str">
        <f t="shared" si="8"/>
        <v>&lt;G1P&gt;`     Fast processing of loan from GLoan</v>
      </c>
    </row>
    <row r="68" spans="1:10" x14ac:dyDescent="0.25">
      <c r="A68" s="24">
        <v>2269</v>
      </c>
      <c r="B68" s="151" t="s">
        <v>412</v>
      </c>
      <c r="C68" t="s">
        <v>16</v>
      </c>
      <c r="D68" t="s">
        <v>318</v>
      </c>
      <c r="F68" t="s">
        <v>326</v>
      </c>
      <c r="G68">
        <f t="shared" si="6"/>
        <v>2269</v>
      </c>
      <c r="H68" t="str">
        <f t="shared" si="7"/>
        <v>`     Fast transaction</v>
      </c>
      <c r="I68" t="s">
        <v>521</v>
      </c>
      <c r="J68" t="str">
        <f t="shared" si="8"/>
        <v>&lt;G2E&gt;&lt;G1P&gt;`     Fast transaction</v>
      </c>
    </row>
    <row r="69" spans="1:10" ht="71.25" x14ac:dyDescent="0.25">
      <c r="A69" s="16" t="s">
        <v>1489</v>
      </c>
      <c r="B69" s="150" t="s">
        <v>1007</v>
      </c>
      <c r="C69" t="s">
        <v>6</v>
      </c>
      <c r="D69" t="s">
        <v>323</v>
      </c>
      <c r="E69" t="s">
        <v>322</v>
      </c>
      <c r="F69" t="s">
        <v>327</v>
      </c>
      <c r="G69" t="str">
        <f t="shared" si="6"/>
        <v>2225+2238+2244+2245+2246+2251+2252+2263+2266+2267+2268+2279+2289+2292</v>
      </c>
      <c r="H69" t="str">
        <f t="shared" si="7"/>
        <v>`EASE OF PROCESSING (NET)&lt;Q&gt;</v>
      </c>
      <c r="J69" t="str">
        <f t="shared" si="8"/>
        <v>`EASE OF PROCESSING (NET)&lt;Q&gt;</v>
      </c>
    </row>
    <row r="70" spans="1:10" x14ac:dyDescent="0.25">
      <c r="A70" s="16">
        <v>2225</v>
      </c>
      <c r="B70" s="148" t="s">
        <v>1008</v>
      </c>
      <c r="C70" t="s">
        <v>16</v>
      </c>
      <c r="D70" t="s">
        <v>318</v>
      </c>
      <c r="F70" t="s">
        <v>326</v>
      </c>
      <c r="G70">
        <f t="shared" si="6"/>
        <v>2225</v>
      </c>
      <c r="H70" t="str">
        <f t="shared" si="7"/>
        <v>`     Easy to process</v>
      </c>
      <c r="I70" t="s">
        <v>520</v>
      </c>
      <c r="J70" t="str">
        <f t="shared" si="8"/>
        <v>&lt;G2B&gt;&lt;G1P&gt;`     Easy to process</v>
      </c>
    </row>
    <row r="71" spans="1:10" x14ac:dyDescent="0.25">
      <c r="A71" s="26">
        <v>2238</v>
      </c>
      <c r="B71" s="149" t="s">
        <v>1009</v>
      </c>
      <c r="C71" t="s">
        <v>16</v>
      </c>
      <c r="D71" t="s">
        <v>318</v>
      </c>
      <c r="F71" t="s">
        <v>326</v>
      </c>
      <c r="G71">
        <f t="shared" si="6"/>
        <v>2238</v>
      </c>
      <c r="H71" t="str">
        <f t="shared" si="7"/>
        <v>`     Easy to get loan on GCash</v>
      </c>
      <c r="I71" t="s">
        <v>522</v>
      </c>
      <c r="J71" t="str">
        <f t="shared" si="8"/>
        <v>&lt;G1P&gt;`     Easy to get loan on GCash</v>
      </c>
    </row>
    <row r="72" spans="1:10" x14ac:dyDescent="0.25">
      <c r="A72" s="26">
        <v>2244</v>
      </c>
      <c r="B72" s="149" t="s">
        <v>1010</v>
      </c>
      <c r="C72" t="s">
        <v>16</v>
      </c>
      <c r="D72" t="s">
        <v>318</v>
      </c>
      <c r="F72" t="s">
        <v>326</v>
      </c>
      <c r="G72">
        <f t="shared" si="6"/>
        <v>2244</v>
      </c>
      <c r="H72" t="str">
        <f t="shared" si="7"/>
        <v>`     Easy to get loan</v>
      </c>
      <c r="I72" t="s">
        <v>522</v>
      </c>
      <c r="J72" t="str">
        <f t="shared" si="8"/>
        <v>&lt;G1P&gt;`     Easy to get loan</v>
      </c>
    </row>
    <row r="73" spans="1:10" x14ac:dyDescent="0.25">
      <c r="A73" s="26">
        <v>2245</v>
      </c>
      <c r="B73" s="149" t="s">
        <v>1011</v>
      </c>
      <c r="C73" t="s">
        <v>16</v>
      </c>
      <c r="D73" t="s">
        <v>318</v>
      </c>
      <c r="F73" t="s">
        <v>326</v>
      </c>
      <c r="G73">
        <f t="shared" si="6"/>
        <v>2245</v>
      </c>
      <c r="H73" t="str">
        <f t="shared" si="7"/>
        <v>`     Easy to save</v>
      </c>
      <c r="I73" t="s">
        <v>522</v>
      </c>
      <c r="J73" t="str">
        <f t="shared" si="8"/>
        <v>&lt;G1P&gt;`     Easy to save</v>
      </c>
    </row>
    <row r="74" spans="1:10" x14ac:dyDescent="0.25">
      <c r="A74" s="26">
        <v>2246</v>
      </c>
      <c r="B74" s="149" t="s">
        <v>1012</v>
      </c>
      <c r="C74" t="s">
        <v>16</v>
      </c>
      <c r="D74" t="s">
        <v>318</v>
      </c>
      <c r="F74" t="s">
        <v>326</v>
      </c>
      <c r="G74">
        <f t="shared" si="6"/>
        <v>2246</v>
      </c>
      <c r="H74" t="str">
        <f t="shared" si="7"/>
        <v>`     Easy to get loan with GCash on GLoan</v>
      </c>
      <c r="I74" t="s">
        <v>522</v>
      </c>
      <c r="J74" t="str">
        <f t="shared" si="8"/>
        <v>&lt;G1P&gt;`     Easy to get loan with GCash on GLoan</v>
      </c>
    </row>
    <row r="75" spans="1:10" x14ac:dyDescent="0.25">
      <c r="A75" s="26">
        <v>2251</v>
      </c>
      <c r="B75" s="149" t="s">
        <v>1013</v>
      </c>
      <c r="C75" t="s">
        <v>16</v>
      </c>
      <c r="D75" t="s">
        <v>318</v>
      </c>
      <c r="F75" t="s">
        <v>326</v>
      </c>
      <c r="G75">
        <f t="shared" si="6"/>
        <v>2251</v>
      </c>
      <c r="H75" t="str">
        <f t="shared" si="7"/>
        <v>`     Easy to barrow money using GLoan</v>
      </c>
      <c r="I75" t="s">
        <v>522</v>
      </c>
      <c r="J75" t="str">
        <f t="shared" si="8"/>
        <v>&lt;G1P&gt;`     Easy to barrow money using GLoan</v>
      </c>
    </row>
    <row r="76" spans="1:10" x14ac:dyDescent="0.25">
      <c r="A76" s="26">
        <v>2252</v>
      </c>
      <c r="B76" s="149" t="s">
        <v>1014</v>
      </c>
      <c r="C76" t="s">
        <v>16</v>
      </c>
      <c r="D76" t="s">
        <v>318</v>
      </c>
      <c r="F76" t="s">
        <v>326</v>
      </c>
      <c r="G76">
        <f t="shared" si="6"/>
        <v>2252</v>
      </c>
      <c r="H76" t="str">
        <f t="shared" si="7"/>
        <v>`     Easy to get loan in GLoan</v>
      </c>
      <c r="I76" t="s">
        <v>522</v>
      </c>
      <c r="J76" t="str">
        <f t="shared" si="8"/>
        <v>&lt;G1P&gt;`     Easy to get loan in GLoan</v>
      </c>
    </row>
    <row r="77" spans="1:10" x14ac:dyDescent="0.25">
      <c r="A77" s="24">
        <v>2263</v>
      </c>
      <c r="B77" s="151" t="s">
        <v>1015</v>
      </c>
      <c r="C77" t="s">
        <v>16</v>
      </c>
      <c r="D77" t="s">
        <v>318</v>
      </c>
      <c r="F77" t="s">
        <v>326</v>
      </c>
      <c r="G77">
        <f t="shared" si="6"/>
        <v>2263</v>
      </c>
      <c r="H77" t="str">
        <f t="shared" si="7"/>
        <v>`     GLoan is easy to access on GCash</v>
      </c>
      <c r="I77" t="s">
        <v>522</v>
      </c>
      <c r="J77" t="str">
        <f t="shared" si="8"/>
        <v>&lt;G1P&gt;`     GLoan is easy to access on GCash</v>
      </c>
    </row>
    <row r="78" spans="1:10" x14ac:dyDescent="0.25">
      <c r="A78" s="24">
        <v>2266</v>
      </c>
      <c r="B78" s="151" t="s">
        <v>494</v>
      </c>
      <c r="C78" t="s">
        <v>16</v>
      </c>
      <c r="D78" t="s">
        <v>318</v>
      </c>
      <c r="F78" t="s">
        <v>326</v>
      </c>
      <c r="G78">
        <f t="shared" si="6"/>
        <v>2266</v>
      </c>
      <c r="H78" t="str">
        <f t="shared" si="7"/>
        <v>`     Easy to use</v>
      </c>
      <c r="I78" t="s">
        <v>522</v>
      </c>
      <c r="J78" t="str">
        <f t="shared" si="8"/>
        <v>&lt;G1P&gt;`     Easy to use</v>
      </c>
    </row>
    <row r="79" spans="1:10" x14ac:dyDescent="0.25">
      <c r="A79" s="24">
        <v>2267</v>
      </c>
      <c r="B79" s="151" t="s">
        <v>1016</v>
      </c>
      <c r="C79" t="s">
        <v>16</v>
      </c>
      <c r="D79" t="s">
        <v>318</v>
      </c>
      <c r="F79" t="s">
        <v>326</v>
      </c>
      <c r="G79">
        <f t="shared" si="6"/>
        <v>2267</v>
      </c>
      <c r="H79" t="str">
        <f t="shared" si="7"/>
        <v>`     Accessible</v>
      </c>
      <c r="I79" t="s">
        <v>522</v>
      </c>
      <c r="J79" t="str">
        <f t="shared" si="8"/>
        <v>&lt;G1P&gt;`     Accessible</v>
      </c>
    </row>
    <row r="80" spans="1:10" x14ac:dyDescent="0.25">
      <c r="A80" s="24">
        <v>2268</v>
      </c>
      <c r="B80" s="151" t="s">
        <v>1017</v>
      </c>
      <c r="C80" t="s">
        <v>16</v>
      </c>
      <c r="D80" t="s">
        <v>318</v>
      </c>
      <c r="F80" t="s">
        <v>326</v>
      </c>
      <c r="G80">
        <f t="shared" si="6"/>
        <v>2268</v>
      </c>
      <c r="H80" t="str">
        <f t="shared" si="7"/>
        <v>`     Can use anywhere</v>
      </c>
      <c r="I80" t="s">
        <v>522</v>
      </c>
      <c r="J80" t="str">
        <f t="shared" si="8"/>
        <v>&lt;G1P&gt;`     Can use anywhere</v>
      </c>
    </row>
    <row r="81" spans="1:10" x14ac:dyDescent="0.25">
      <c r="A81" s="25">
        <v>2279</v>
      </c>
      <c r="B81" s="152" t="s">
        <v>1018</v>
      </c>
      <c r="C81" t="s">
        <v>16</v>
      </c>
      <c r="D81" t="s">
        <v>318</v>
      </c>
      <c r="F81" t="s">
        <v>326</v>
      </c>
      <c r="G81">
        <f t="shared" si="6"/>
        <v>2279</v>
      </c>
      <c r="H81" t="str">
        <f t="shared" si="7"/>
        <v>`     Easy payment</v>
      </c>
      <c r="I81" t="s">
        <v>522</v>
      </c>
      <c r="J81" t="str">
        <f t="shared" si="8"/>
        <v>&lt;G1P&gt;`     Easy payment</v>
      </c>
    </row>
    <row r="82" spans="1:10" x14ac:dyDescent="0.25">
      <c r="A82" s="25">
        <v>2289</v>
      </c>
      <c r="B82" s="152" t="s">
        <v>1019</v>
      </c>
      <c r="C82" t="s">
        <v>16</v>
      </c>
      <c r="D82" t="s">
        <v>318</v>
      </c>
      <c r="F82" t="s">
        <v>326</v>
      </c>
      <c r="G82">
        <f t="shared" si="6"/>
        <v>2289</v>
      </c>
      <c r="H82" t="str">
        <f t="shared" si="7"/>
        <v>`     More convenient to use</v>
      </c>
      <c r="I82" t="s">
        <v>522</v>
      </c>
      <c r="J82" t="str">
        <f t="shared" si="8"/>
        <v>&lt;G1P&gt;`     More convenient to use</v>
      </c>
    </row>
    <row r="83" spans="1:10" x14ac:dyDescent="0.25">
      <c r="A83" s="25">
        <v>2292</v>
      </c>
      <c r="B83" s="152" t="s">
        <v>992</v>
      </c>
      <c r="C83" t="s">
        <v>16</v>
      </c>
      <c r="D83" t="s">
        <v>318</v>
      </c>
      <c r="F83" t="s">
        <v>326</v>
      </c>
      <c r="G83">
        <f t="shared" si="6"/>
        <v>2292</v>
      </c>
      <c r="H83" t="str">
        <f t="shared" si="7"/>
        <v>`     Gloan is easy to use</v>
      </c>
      <c r="I83" t="s">
        <v>521</v>
      </c>
      <c r="J83" t="str">
        <f t="shared" si="8"/>
        <v>&lt;G2E&gt;&lt;G1P&gt;`     Gloan is easy to use</v>
      </c>
    </row>
    <row r="84" spans="1:10" ht="15.75" x14ac:dyDescent="0.25">
      <c r="A84" s="16">
        <v>2291</v>
      </c>
      <c r="B84" s="150" t="s">
        <v>415</v>
      </c>
      <c r="C84" t="s">
        <v>6</v>
      </c>
      <c r="D84" t="s">
        <v>323</v>
      </c>
      <c r="E84" t="s">
        <v>322</v>
      </c>
      <c r="F84" t="s">
        <v>327</v>
      </c>
      <c r="G84">
        <f t="shared" si="6"/>
        <v>2291</v>
      </c>
      <c r="H84" t="str">
        <f t="shared" si="7"/>
        <v>`SAFETY AND SECURITY (NET)&lt;Q&gt;</v>
      </c>
      <c r="J84" t="str">
        <f t="shared" si="8"/>
        <v>`SAFETY AND SECURITY (NET)&lt;Q&gt;</v>
      </c>
    </row>
    <row r="85" spans="1:10" x14ac:dyDescent="0.25">
      <c r="A85" s="25">
        <v>2291</v>
      </c>
      <c r="B85" s="152" t="s">
        <v>1020</v>
      </c>
      <c r="C85" t="s">
        <v>16</v>
      </c>
      <c r="D85" t="s">
        <v>318</v>
      </c>
      <c r="F85" t="s">
        <v>326</v>
      </c>
      <c r="G85">
        <f t="shared" si="6"/>
        <v>2291</v>
      </c>
      <c r="H85" t="str">
        <f t="shared" si="7"/>
        <v>`     Safe</v>
      </c>
      <c r="I85" t="s">
        <v>522</v>
      </c>
      <c r="J85" t="str">
        <f t="shared" si="8"/>
        <v>&lt;G1P&gt;`     Safe</v>
      </c>
    </row>
    <row r="86" spans="1:10" ht="15.75" x14ac:dyDescent="0.25">
      <c r="A86" s="16" t="s">
        <v>1056</v>
      </c>
      <c r="B86" s="150" t="s">
        <v>1021</v>
      </c>
      <c r="C86" t="s">
        <v>6</v>
      </c>
      <c r="D86" t="s">
        <v>323</v>
      </c>
      <c r="E86" t="s">
        <v>322</v>
      </c>
      <c r="F86" t="s">
        <v>327</v>
      </c>
      <c r="G86" t="str">
        <f t="shared" si="6"/>
        <v>2226+2247</v>
      </c>
      <c r="H86" t="str">
        <f t="shared" si="7"/>
        <v>`CAN LOAN ANYTIME (NET)&lt;Q&gt;</v>
      </c>
      <c r="J86" t="str">
        <f t="shared" si="8"/>
        <v>`CAN LOAN ANYTIME (NET)&lt;Q&gt;</v>
      </c>
    </row>
    <row r="87" spans="1:10" x14ac:dyDescent="0.25">
      <c r="A87" s="16">
        <v>2226</v>
      </c>
      <c r="B87" s="148" t="s">
        <v>1022</v>
      </c>
      <c r="C87" t="s">
        <v>16</v>
      </c>
      <c r="D87" t="s">
        <v>318</v>
      </c>
      <c r="F87" t="s">
        <v>326</v>
      </c>
      <c r="G87">
        <f t="shared" si="6"/>
        <v>2226</v>
      </c>
      <c r="H87" t="str">
        <f t="shared" si="7"/>
        <v>`     Can loan anytime</v>
      </c>
      <c r="I87" t="s">
        <v>520</v>
      </c>
      <c r="J87" t="str">
        <f t="shared" si="8"/>
        <v>&lt;G2B&gt;&lt;G1P&gt;`     Can loan anytime</v>
      </c>
    </row>
    <row r="88" spans="1:10" x14ac:dyDescent="0.25">
      <c r="A88" s="26">
        <v>2247</v>
      </c>
      <c r="B88" s="149" t="s">
        <v>1023</v>
      </c>
      <c r="C88" t="s">
        <v>16</v>
      </c>
      <c r="D88" t="s">
        <v>318</v>
      </c>
      <c r="F88" t="s">
        <v>326</v>
      </c>
      <c r="G88">
        <f t="shared" si="6"/>
        <v>2247</v>
      </c>
      <c r="H88" t="str">
        <f t="shared" si="7"/>
        <v>`     Can get loan if needed</v>
      </c>
      <c r="I88" t="s">
        <v>521</v>
      </c>
      <c r="J88" t="str">
        <f t="shared" si="8"/>
        <v>&lt;G2E&gt;&lt;G1P&gt;`     Can get loan if needed</v>
      </c>
    </row>
    <row r="89" spans="1:10" ht="15.75" x14ac:dyDescent="0.25">
      <c r="A89" s="16">
        <v>2227</v>
      </c>
      <c r="B89" s="150" t="s">
        <v>1024</v>
      </c>
      <c r="C89" t="s">
        <v>6</v>
      </c>
      <c r="D89" t="s">
        <v>323</v>
      </c>
      <c r="E89" t="s">
        <v>322</v>
      </c>
      <c r="F89" t="s">
        <v>327</v>
      </c>
      <c r="G89">
        <f t="shared" si="6"/>
        <v>2227</v>
      </c>
      <c r="H89" t="str">
        <f t="shared" si="7"/>
        <v>`DOCUMENTARY REQUIREMENTS (NET)&lt;Q&gt;</v>
      </c>
      <c r="J89" t="str">
        <f t="shared" si="8"/>
        <v>`DOCUMENTARY REQUIREMENTS (NET)&lt;Q&gt;</v>
      </c>
    </row>
    <row r="90" spans="1:10" x14ac:dyDescent="0.25">
      <c r="A90" s="16">
        <v>2227</v>
      </c>
      <c r="B90" s="148" t="s">
        <v>1025</v>
      </c>
      <c r="C90" t="s">
        <v>16</v>
      </c>
      <c r="D90" t="s">
        <v>318</v>
      </c>
      <c r="F90" t="s">
        <v>326</v>
      </c>
      <c r="G90">
        <f t="shared" si="6"/>
        <v>2227</v>
      </c>
      <c r="H90" t="str">
        <f t="shared" si="7"/>
        <v>`     No need for ID or documents</v>
      </c>
      <c r="I90" t="s">
        <v>522</v>
      </c>
      <c r="J90" t="str">
        <f t="shared" si="8"/>
        <v>&lt;G1P&gt;`     No need for ID or documents</v>
      </c>
    </row>
    <row r="91" spans="1:10" ht="15.75" x14ac:dyDescent="0.25">
      <c r="A91" s="16" t="s">
        <v>1057</v>
      </c>
      <c r="B91" s="150" t="s">
        <v>1026</v>
      </c>
      <c r="C91" t="s">
        <v>6</v>
      </c>
      <c r="D91" t="s">
        <v>323</v>
      </c>
      <c r="E91" t="s">
        <v>322</v>
      </c>
      <c r="F91" t="s">
        <v>327</v>
      </c>
      <c r="G91" t="str">
        <f t="shared" si="6"/>
        <v>2228+2236</v>
      </c>
      <c r="H91" t="str">
        <f t="shared" si="7"/>
        <v>`ABOUT LOAN (NET)&lt;Q&gt;</v>
      </c>
      <c r="J91" t="str">
        <f t="shared" si="8"/>
        <v>`ABOUT LOAN (NET)&lt;Q&gt;</v>
      </c>
    </row>
    <row r="92" spans="1:10" x14ac:dyDescent="0.25">
      <c r="A92" s="16">
        <v>2228</v>
      </c>
      <c r="B92" s="148" t="s">
        <v>1027</v>
      </c>
      <c r="C92" t="s">
        <v>16</v>
      </c>
      <c r="D92" t="s">
        <v>318</v>
      </c>
      <c r="F92" t="s">
        <v>326</v>
      </c>
      <c r="G92">
        <f t="shared" si="6"/>
        <v>2228</v>
      </c>
      <c r="H92" t="str">
        <f t="shared" si="7"/>
        <v>`     About loan</v>
      </c>
      <c r="I92" t="s">
        <v>520</v>
      </c>
      <c r="J92" t="str">
        <f t="shared" si="8"/>
        <v>&lt;G2B&gt;&lt;G1P&gt;`     About loan</v>
      </c>
    </row>
    <row r="93" spans="1:10" x14ac:dyDescent="0.25">
      <c r="A93" s="26">
        <v>2236</v>
      </c>
      <c r="B93" s="149" t="s">
        <v>1028</v>
      </c>
      <c r="C93" t="s">
        <v>16</v>
      </c>
      <c r="D93" t="s">
        <v>318</v>
      </c>
      <c r="F93" t="s">
        <v>326</v>
      </c>
      <c r="G93">
        <f t="shared" si="6"/>
        <v>2236</v>
      </c>
      <c r="H93" t="str">
        <f t="shared" si="7"/>
        <v>`     Can get loan</v>
      </c>
      <c r="I93" t="s">
        <v>521</v>
      </c>
      <c r="J93" t="str">
        <f t="shared" si="8"/>
        <v>&lt;G2E&gt;&lt;G1P&gt;`     Can get loan</v>
      </c>
    </row>
    <row r="94" spans="1:10" ht="28.5" x14ac:dyDescent="0.25">
      <c r="A94" s="16" t="s">
        <v>1058</v>
      </c>
      <c r="B94" s="150" t="s">
        <v>1029</v>
      </c>
      <c r="C94" t="s">
        <v>6</v>
      </c>
      <c r="D94" t="s">
        <v>323</v>
      </c>
      <c r="E94" t="s">
        <v>322</v>
      </c>
      <c r="F94" t="s">
        <v>327</v>
      </c>
      <c r="G94" t="str">
        <f t="shared" si="6"/>
        <v>2229+2258+2259+2260</v>
      </c>
      <c r="H94" t="str">
        <f t="shared" si="7"/>
        <v>`CAN LOAN `"SABAY SABAY`" (NET)&lt;Q&gt;</v>
      </c>
      <c r="J94" t="str">
        <f t="shared" si="8"/>
        <v>`CAN LOAN `"SABAY SABAY`" (NET)&lt;Q&gt;</v>
      </c>
    </row>
    <row r="95" spans="1:10" x14ac:dyDescent="0.25">
      <c r="A95" s="16">
        <v>2229</v>
      </c>
      <c r="B95" s="148" t="s">
        <v>1030</v>
      </c>
      <c r="C95" t="s">
        <v>16</v>
      </c>
      <c r="D95" t="s">
        <v>318</v>
      </c>
      <c r="F95" t="s">
        <v>326</v>
      </c>
      <c r="G95">
        <f t="shared" si="6"/>
        <v>2229</v>
      </c>
      <c r="H95" t="str">
        <f t="shared" si="7"/>
        <v>`     Can loan from GCash `"sabay sabay`"</v>
      </c>
      <c r="I95" t="s">
        <v>520</v>
      </c>
      <c r="J95" t="str">
        <f t="shared" si="8"/>
        <v>&lt;G2B&gt;&lt;G1P&gt;`     Can loan from GCash `"sabay sabay`"</v>
      </c>
    </row>
    <row r="96" spans="1:10" x14ac:dyDescent="0.25">
      <c r="A96" s="26">
        <v>2258</v>
      </c>
      <c r="B96" s="149" t="s">
        <v>1031</v>
      </c>
      <c r="C96" t="s">
        <v>16</v>
      </c>
      <c r="D96" t="s">
        <v>318</v>
      </c>
      <c r="F96" t="s">
        <v>326</v>
      </c>
      <c r="G96">
        <f t="shared" si="6"/>
        <v>2258</v>
      </c>
      <c r="H96" t="str">
        <f t="shared" si="7"/>
        <v>`     `"Sabay sabay`" all expenses Gcash Gloan can handle it</v>
      </c>
      <c r="I96" t="s">
        <v>522</v>
      </c>
      <c r="J96" t="str">
        <f t="shared" si="8"/>
        <v>&lt;G1P&gt;`     `"Sabay sabay`" all expenses Gcash Gloan can handle it</v>
      </c>
    </row>
    <row r="97" spans="1:10" x14ac:dyDescent="0.25">
      <c r="A97" s="26">
        <v>2259</v>
      </c>
      <c r="B97" s="149" t="s">
        <v>1032</v>
      </c>
      <c r="C97" t="s">
        <v>16</v>
      </c>
      <c r="D97" t="s">
        <v>318</v>
      </c>
      <c r="F97" t="s">
        <v>326</v>
      </c>
      <c r="G97">
        <f t="shared" si="6"/>
        <v>2259</v>
      </c>
      <c r="H97" t="str">
        <f t="shared" si="7"/>
        <v>`     Expenses are coming `"Sabay sabay`"</v>
      </c>
      <c r="I97" t="s">
        <v>522</v>
      </c>
      <c r="J97" t="str">
        <f t="shared" si="8"/>
        <v>&lt;G1P&gt;`     Expenses are coming `"Sabay sabay`"</v>
      </c>
    </row>
    <row r="98" spans="1:10" x14ac:dyDescent="0.25">
      <c r="A98" s="26">
        <v>2260</v>
      </c>
      <c r="B98" s="149" t="s">
        <v>1033</v>
      </c>
      <c r="C98" t="s">
        <v>16</v>
      </c>
      <c r="D98" t="s">
        <v>318</v>
      </c>
      <c r="F98" t="s">
        <v>326</v>
      </c>
      <c r="G98">
        <f t="shared" ref="G98:G121" si="9">IF(A98="","",A98)</f>
        <v>2260</v>
      </c>
      <c r="H98" t="str">
        <f t="shared" ref="H98:H121" si="10">_xlfn.CONCAT(D98,SUBSTITUTE(B98,"""","`"""),E98)</f>
        <v>`     `"Sabay sabay`" but it can be paid immediately</v>
      </c>
      <c r="I98" t="s">
        <v>521</v>
      </c>
      <c r="J98" t="str">
        <f t="shared" ref="J98:J129" si="11">_xlfn.CONCAT(I98,H98)</f>
        <v>&lt;G2E&gt;&lt;G1P&gt;`     `"Sabay sabay`" but it can be paid immediately</v>
      </c>
    </row>
    <row r="99" spans="1:10" ht="15.75" x14ac:dyDescent="0.25">
      <c r="A99" s="16" t="s">
        <v>1490</v>
      </c>
      <c r="B99" s="150" t="s">
        <v>1484</v>
      </c>
      <c r="C99" t="s">
        <v>6</v>
      </c>
      <c r="D99" t="s">
        <v>323</v>
      </c>
      <c r="E99" t="s">
        <v>322</v>
      </c>
      <c r="F99" t="s">
        <v>327</v>
      </c>
      <c r="G99" t="str">
        <f t="shared" si="9"/>
        <v>2262+2264</v>
      </c>
      <c r="H99" t="str">
        <f t="shared" si="10"/>
        <v>`MENTIONS OF GCASH(NET)&lt;Q&gt;</v>
      </c>
      <c r="I99" t="s">
        <v>519</v>
      </c>
      <c r="J99" t="str">
        <f t="shared" si="11"/>
        <v>&lt;G1E&gt;`MENTIONS OF GCASH(NET)&lt;Q&gt;</v>
      </c>
    </row>
    <row r="100" spans="1:10" x14ac:dyDescent="0.25">
      <c r="A100" s="24">
        <v>2262</v>
      </c>
      <c r="B100" s="151" t="s">
        <v>641</v>
      </c>
      <c r="C100" t="s">
        <v>16</v>
      </c>
      <c r="D100" t="s">
        <v>318</v>
      </c>
      <c r="F100" t="s">
        <v>326</v>
      </c>
      <c r="G100">
        <f t="shared" si="9"/>
        <v>2262</v>
      </c>
      <c r="H100" t="str">
        <f t="shared" si="10"/>
        <v>`     GCash</v>
      </c>
      <c r="I100" t="s">
        <v>520</v>
      </c>
      <c r="J100" t="str">
        <f t="shared" si="11"/>
        <v>&lt;G2B&gt;&lt;G1P&gt;`     GCash</v>
      </c>
    </row>
    <row r="101" spans="1:10" x14ac:dyDescent="0.25">
      <c r="A101" s="24">
        <v>2264</v>
      </c>
      <c r="B101" s="151" t="s">
        <v>1038</v>
      </c>
      <c r="C101" t="s">
        <v>16</v>
      </c>
      <c r="D101" t="s">
        <v>318</v>
      </c>
      <c r="F101" t="s">
        <v>326</v>
      </c>
      <c r="G101">
        <f t="shared" si="9"/>
        <v>2264</v>
      </c>
      <c r="H101" t="str">
        <f t="shared" si="10"/>
        <v>`     GCash to the rescue</v>
      </c>
      <c r="I101" t="s">
        <v>521</v>
      </c>
      <c r="J101" t="str">
        <f t="shared" si="11"/>
        <v>&lt;G2E&gt;&lt;G1P&gt;`     GCash to the rescue</v>
      </c>
    </row>
    <row r="102" spans="1:10" ht="42.75" x14ac:dyDescent="0.25">
      <c r="A102" s="16" t="s">
        <v>1491</v>
      </c>
      <c r="B102" s="150" t="s">
        <v>332</v>
      </c>
      <c r="C102" t="s">
        <v>6</v>
      </c>
      <c r="D102" t="s">
        <v>323</v>
      </c>
      <c r="E102" t="s">
        <v>322</v>
      </c>
      <c r="F102" t="s">
        <v>327</v>
      </c>
      <c r="G102" t="str">
        <f t="shared" si="9"/>
        <v>2233+2242+2249+2261+2271+2284+2287+2288</v>
      </c>
      <c r="H102" t="str">
        <f t="shared" si="10"/>
        <v>`OTHERS (NET)&lt;Q&gt;</v>
      </c>
      <c r="J102" t="str">
        <f t="shared" si="11"/>
        <v>`OTHERS (NET)&lt;Q&gt;</v>
      </c>
    </row>
    <row r="103" spans="1:10" x14ac:dyDescent="0.25">
      <c r="A103" s="16">
        <v>2233</v>
      </c>
      <c r="B103" s="148" t="s">
        <v>1034</v>
      </c>
      <c r="C103" t="s">
        <v>16</v>
      </c>
      <c r="D103" t="s">
        <v>318</v>
      </c>
      <c r="F103" t="s">
        <v>326</v>
      </c>
      <c r="G103">
        <f t="shared" si="9"/>
        <v>2233</v>
      </c>
      <c r="H103" t="str">
        <f t="shared" si="10"/>
        <v>`     GLoan for Protection</v>
      </c>
      <c r="I103" t="s">
        <v>520</v>
      </c>
      <c r="J103" t="str">
        <f t="shared" si="11"/>
        <v>&lt;G2B&gt;&lt;G1P&gt;`     GLoan for Protection</v>
      </c>
    </row>
    <row r="104" spans="1:10" x14ac:dyDescent="0.25">
      <c r="A104" s="26">
        <v>2242</v>
      </c>
      <c r="B104" s="149" t="s">
        <v>1035</v>
      </c>
      <c r="C104" t="s">
        <v>16</v>
      </c>
      <c r="D104" t="s">
        <v>318</v>
      </c>
      <c r="F104" t="s">
        <v>326</v>
      </c>
      <c r="G104">
        <f t="shared" si="9"/>
        <v>2242</v>
      </c>
      <c r="H104" t="str">
        <f t="shared" si="10"/>
        <v>`     It seems that the mother having problems</v>
      </c>
      <c r="I104" t="s">
        <v>522</v>
      </c>
      <c r="J104" t="str">
        <f t="shared" si="11"/>
        <v>&lt;G1P&gt;`     It seems that the mother having problems</v>
      </c>
    </row>
    <row r="105" spans="1:10" x14ac:dyDescent="0.25">
      <c r="A105" s="26">
        <v>2249</v>
      </c>
      <c r="B105" s="149" t="s">
        <v>1036</v>
      </c>
      <c r="C105" t="s">
        <v>16</v>
      </c>
      <c r="D105" t="s">
        <v>318</v>
      </c>
      <c r="F105" t="s">
        <v>326</v>
      </c>
      <c r="G105">
        <f t="shared" si="9"/>
        <v>2249</v>
      </c>
      <c r="H105" t="str">
        <f t="shared" si="10"/>
        <v>`     Can help in everything</v>
      </c>
      <c r="I105" t="s">
        <v>522</v>
      </c>
      <c r="J105" t="str">
        <f t="shared" si="11"/>
        <v>&lt;G1P&gt;`     Can help in everything</v>
      </c>
    </row>
    <row r="106" spans="1:10" x14ac:dyDescent="0.25">
      <c r="A106" s="26">
        <v>2261</v>
      </c>
      <c r="B106" s="149" t="s">
        <v>1037</v>
      </c>
      <c r="C106" t="s">
        <v>16</v>
      </c>
      <c r="D106" t="s">
        <v>318</v>
      </c>
      <c r="F106" t="s">
        <v>326</v>
      </c>
      <c r="G106">
        <f t="shared" si="9"/>
        <v>2261</v>
      </c>
      <c r="H106" t="str">
        <f t="shared" si="10"/>
        <v>`     About funds</v>
      </c>
      <c r="I106" t="s">
        <v>522</v>
      </c>
      <c r="J106" t="str">
        <f t="shared" si="11"/>
        <v>&lt;G1P&gt;`     About funds</v>
      </c>
    </row>
    <row r="107" spans="1:10" x14ac:dyDescent="0.25">
      <c r="A107" s="24">
        <v>2271</v>
      </c>
      <c r="B107" s="151" t="s">
        <v>671</v>
      </c>
      <c r="C107" t="s">
        <v>16</v>
      </c>
      <c r="D107" t="s">
        <v>318</v>
      </c>
      <c r="F107" t="s">
        <v>326</v>
      </c>
      <c r="G107">
        <f t="shared" si="9"/>
        <v>2271</v>
      </c>
      <c r="H107" t="str">
        <f t="shared" si="10"/>
        <v>`     Happy family</v>
      </c>
      <c r="I107" t="s">
        <v>522</v>
      </c>
      <c r="J107" t="str">
        <f t="shared" si="11"/>
        <v>&lt;G1P&gt;`     Happy family</v>
      </c>
    </row>
    <row r="108" spans="1:10" x14ac:dyDescent="0.25">
      <c r="A108" s="25">
        <v>2284</v>
      </c>
      <c r="B108" s="152" t="s">
        <v>1043</v>
      </c>
      <c r="C108" t="s">
        <v>16</v>
      </c>
      <c r="D108" t="s">
        <v>318</v>
      </c>
      <c r="F108" t="s">
        <v>326</v>
      </c>
      <c r="G108">
        <f t="shared" si="9"/>
        <v>2284</v>
      </c>
      <c r="H108" t="str">
        <f t="shared" si="10"/>
        <v>`     GCash can make your life better</v>
      </c>
      <c r="I108" t="s">
        <v>522</v>
      </c>
      <c r="J108" t="str">
        <f t="shared" si="11"/>
        <v>&lt;G1P&gt;`     GCash can make your life better</v>
      </c>
    </row>
    <row r="109" spans="1:10" x14ac:dyDescent="0.25">
      <c r="A109" s="25">
        <v>2287</v>
      </c>
      <c r="B109" s="152" t="s">
        <v>1045</v>
      </c>
      <c r="C109" t="s">
        <v>16</v>
      </c>
      <c r="D109" t="s">
        <v>318</v>
      </c>
      <c r="F109" t="s">
        <v>326</v>
      </c>
      <c r="G109">
        <f t="shared" si="9"/>
        <v>2287</v>
      </c>
      <c r="H109" t="str">
        <f t="shared" si="10"/>
        <v>`     GCash is good</v>
      </c>
      <c r="I109" t="s">
        <v>522</v>
      </c>
      <c r="J109" t="str">
        <f t="shared" si="11"/>
        <v>&lt;G1P&gt;`     GCash is good</v>
      </c>
    </row>
    <row r="110" spans="1:10" x14ac:dyDescent="0.25">
      <c r="A110" s="25">
        <v>2288</v>
      </c>
      <c r="B110" s="152" t="s">
        <v>1046</v>
      </c>
      <c r="C110" t="s">
        <v>16</v>
      </c>
      <c r="D110" t="s">
        <v>318</v>
      </c>
      <c r="F110" t="s">
        <v>326</v>
      </c>
      <c r="G110">
        <f t="shared" si="9"/>
        <v>2288</v>
      </c>
      <c r="H110" t="str">
        <f t="shared" si="10"/>
        <v>`     Be alert in everything</v>
      </c>
      <c r="I110" t="s">
        <v>521</v>
      </c>
      <c r="J110" t="str">
        <f t="shared" si="11"/>
        <v>&lt;G2E&gt;&lt;G1P&gt;`     Be alert in everything</v>
      </c>
    </row>
    <row r="111" spans="1:10" ht="28.5" x14ac:dyDescent="0.25">
      <c r="A111" s="16" t="s">
        <v>1492</v>
      </c>
      <c r="B111" s="150" t="s">
        <v>331</v>
      </c>
      <c r="C111" t="s">
        <v>6</v>
      </c>
      <c r="D111" t="s">
        <v>323</v>
      </c>
      <c r="E111" t="s">
        <v>322</v>
      </c>
      <c r="F111" t="s">
        <v>327</v>
      </c>
      <c r="G111" t="str">
        <f t="shared" si="9"/>
        <v>2501+2502+2503+2504+2505+2286</v>
      </c>
      <c r="H111" t="str">
        <f t="shared" si="10"/>
        <v>`VAGUE (NET)&lt;Q&gt;</v>
      </c>
      <c r="J111" t="str">
        <f t="shared" si="11"/>
        <v>`VAGUE (NET)&lt;Q&gt;</v>
      </c>
    </row>
    <row r="112" spans="1:10" x14ac:dyDescent="0.25">
      <c r="A112" s="26">
        <v>2501</v>
      </c>
      <c r="B112" s="149" t="s">
        <v>1048</v>
      </c>
      <c r="C112" t="s">
        <v>16</v>
      </c>
      <c r="D112" t="s">
        <v>318</v>
      </c>
      <c r="F112" t="s">
        <v>326</v>
      </c>
      <c r="G112">
        <f t="shared" si="9"/>
        <v>2501</v>
      </c>
      <c r="H112" t="str">
        <f t="shared" si="10"/>
        <v>`     Good</v>
      </c>
      <c r="I112" t="s">
        <v>520</v>
      </c>
      <c r="J112" t="str">
        <f t="shared" si="11"/>
        <v>&lt;G2B&gt;&lt;G1P&gt;`     Good</v>
      </c>
    </row>
    <row r="113" spans="1:10" x14ac:dyDescent="0.25">
      <c r="A113" s="26">
        <v>2502</v>
      </c>
      <c r="B113" s="149" t="s">
        <v>1049</v>
      </c>
      <c r="C113" t="s">
        <v>16</v>
      </c>
      <c r="D113" t="s">
        <v>318</v>
      </c>
      <c r="F113" t="s">
        <v>326</v>
      </c>
      <c r="G113">
        <f t="shared" si="9"/>
        <v>2502</v>
      </c>
      <c r="H113" t="str">
        <f t="shared" si="10"/>
        <v>`     It's nice</v>
      </c>
      <c r="I113" t="s">
        <v>522</v>
      </c>
      <c r="J113" t="str">
        <f t="shared" si="11"/>
        <v>&lt;G1P&gt;`     It's nice</v>
      </c>
    </row>
    <row r="114" spans="1:10" x14ac:dyDescent="0.25">
      <c r="A114" s="26">
        <v>2503</v>
      </c>
      <c r="B114" s="149" t="s">
        <v>784</v>
      </c>
      <c r="C114" t="s">
        <v>16</v>
      </c>
      <c r="D114" t="s">
        <v>318</v>
      </c>
      <c r="F114" t="s">
        <v>326</v>
      </c>
      <c r="G114">
        <f t="shared" si="9"/>
        <v>2503</v>
      </c>
      <c r="H114" t="str">
        <f t="shared" si="10"/>
        <v>`     It's okay</v>
      </c>
      <c r="I114" t="s">
        <v>522</v>
      </c>
      <c r="J114" t="str">
        <f t="shared" si="11"/>
        <v>&lt;G1P&gt;`     It's okay</v>
      </c>
    </row>
    <row r="115" spans="1:10" x14ac:dyDescent="0.25">
      <c r="A115" s="26">
        <v>2504</v>
      </c>
      <c r="B115" s="149" t="s">
        <v>1050</v>
      </c>
      <c r="C115" t="s">
        <v>16</v>
      </c>
      <c r="D115" t="s">
        <v>318</v>
      </c>
      <c r="F115" t="s">
        <v>326</v>
      </c>
      <c r="G115">
        <f t="shared" si="9"/>
        <v>2504</v>
      </c>
      <c r="H115" t="str">
        <f t="shared" si="10"/>
        <v>`     Can loan up to 100%</v>
      </c>
      <c r="I115" t="s">
        <v>522</v>
      </c>
      <c r="J115" t="str">
        <f t="shared" si="11"/>
        <v>&lt;G1P&gt;`     Can loan up to 100%</v>
      </c>
    </row>
    <row r="116" spans="1:10" x14ac:dyDescent="0.25">
      <c r="A116" s="26">
        <v>2505</v>
      </c>
      <c r="B116" s="149" t="s">
        <v>777</v>
      </c>
      <c r="C116" t="s">
        <v>16</v>
      </c>
      <c r="D116" t="s">
        <v>318</v>
      </c>
      <c r="F116" t="s">
        <v>326</v>
      </c>
      <c r="G116">
        <f t="shared" si="9"/>
        <v>2505</v>
      </c>
      <c r="H116" t="str">
        <f t="shared" si="10"/>
        <v>`     This is awesome</v>
      </c>
      <c r="I116" t="s">
        <v>522</v>
      </c>
      <c r="J116" t="str">
        <f t="shared" si="11"/>
        <v>&lt;G1P&gt;`     This is awesome</v>
      </c>
    </row>
    <row r="117" spans="1:10" x14ac:dyDescent="0.25">
      <c r="A117" s="25">
        <v>2286</v>
      </c>
      <c r="B117" s="152" t="s">
        <v>1044</v>
      </c>
      <c r="C117" t="s">
        <v>16</v>
      </c>
      <c r="D117" t="s">
        <v>318</v>
      </c>
      <c r="F117" t="s">
        <v>326</v>
      </c>
      <c r="G117">
        <f t="shared" si="9"/>
        <v>2286</v>
      </c>
      <c r="H117" t="str">
        <f t="shared" si="10"/>
        <v>`     Download GCash app to make it easier to give money</v>
      </c>
      <c r="I117" t="s">
        <v>521</v>
      </c>
      <c r="J117" t="str">
        <f t="shared" si="11"/>
        <v>&lt;G2E&gt;&lt;G1P&gt;`     Download GCash app to make it easier to give money</v>
      </c>
    </row>
    <row r="118" spans="1:10" x14ac:dyDescent="0.25">
      <c r="A118" s="26">
        <v>9994</v>
      </c>
      <c r="B118" s="149" t="s">
        <v>796</v>
      </c>
      <c r="G118">
        <f t="shared" si="9"/>
        <v>9994</v>
      </c>
      <c r="H118" t="str">
        <f t="shared" si="10"/>
        <v>No comment</v>
      </c>
      <c r="J118" t="str">
        <f t="shared" si="11"/>
        <v>No comment</v>
      </c>
    </row>
    <row r="119" spans="1:10" x14ac:dyDescent="0.25">
      <c r="A119" s="26" t="s">
        <v>932</v>
      </c>
      <c r="B119" s="149" t="s">
        <v>302</v>
      </c>
      <c r="G119" t="str">
        <f t="shared" si="9"/>
        <v>9996+9995</v>
      </c>
      <c r="H119" t="str">
        <f t="shared" si="10"/>
        <v>Can't say</v>
      </c>
      <c r="J119" t="str">
        <f t="shared" si="11"/>
        <v>Can't say</v>
      </c>
    </row>
    <row r="120" spans="1:10" x14ac:dyDescent="0.25">
      <c r="A120" s="26">
        <v>9997</v>
      </c>
      <c r="B120" s="149" t="s">
        <v>336</v>
      </c>
      <c r="G120">
        <f t="shared" si="9"/>
        <v>9997</v>
      </c>
      <c r="H120" t="str">
        <f t="shared" si="10"/>
        <v>Don't know</v>
      </c>
      <c r="J120" t="str">
        <f t="shared" si="11"/>
        <v>Don't know</v>
      </c>
    </row>
    <row r="121" spans="1:10" x14ac:dyDescent="0.25">
      <c r="A121" s="26">
        <v>9999</v>
      </c>
      <c r="B121" s="149" t="s">
        <v>303</v>
      </c>
      <c r="G121">
        <f t="shared" si="9"/>
        <v>9999</v>
      </c>
      <c r="H121" t="str">
        <f t="shared" si="10"/>
        <v>None</v>
      </c>
      <c r="J121" t="str">
        <f t="shared" si="11"/>
        <v>None</v>
      </c>
    </row>
    <row r="122" spans="1:10" x14ac:dyDescent="0.25">
      <c r="A122" s="16"/>
    </row>
    <row r="123" spans="1:10" x14ac:dyDescent="0.25">
      <c r="A123" s="16"/>
    </row>
    <row r="124" spans="1:10" x14ac:dyDescent="0.25">
      <c r="A124" s="16"/>
    </row>
    <row r="125" spans="1:10" x14ac:dyDescent="0.25">
      <c r="A125" s="16"/>
    </row>
    <row r="126" spans="1:10" x14ac:dyDescent="0.25">
      <c r="A126" s="16"/>
    </row>
    <row r="127" spans="1:10" x14ac:dyDescent="0.25">
      <c r="A127" s="16"/>
    </row>
    <row r="128" spans="1:10" x14ac:dyDescent="0.25">
      <c r="A128" s="16"/>
    </row>
    <row r="129" spans="1:1" x14ac:dyDescent="0.25">
      <c r="A129" s="16"/>
    </row>
    <row r="130" spans="1:1" x14ac:dyDescent="0.25">
      <c r="A130" s="16"/>
    </row>
    <row r="131" spans="1:1" x14ac:dyDescent="0.25">
      <c r="A131" s="16"/>
    </row>
    <row r="132" spans="1:1" x14ac:dyDescent="0.25">
      <c r="A132" s="16"/>
    </row>
    <row r="133" spans="1:1" x14ac:dyDescent="0.25">
      <c r="A133" s="16"/>
    </row>
    <row r="134" spans="1:1" x14ac:dyDescent="0.25">
      <c r="A134" s="16"/>
    </row>
    <row r="135" spans="1:1" x14ac:dyDescent="0.25">
      <c r="A135" s="16"/>
    </row>
    <row r="136" spans="1:1" x14ac:dyDescent="0.25">
      <c r="A136" s="16"/>
    </row>
    <row r="137" spans="1:1" x14ac:dyDescent="0.25">
      <c r="A137" s="16"/>
    </row>
    <row r="138" spans="1:1" x14ac:dyDescent="0.25">
      <c r="A138" s="16"/>
    </row>
    <row r="139" spans="1:1" x14ac:dyDescent="0.25">
      <c r="A139" s="16"/>
    </row>
    <row r="140" spans="1:1" x14ac:dyDescent="0.25">
      <c r="A140" s="16"/>
    </row>
    <row r="141" spans="1:1" x14ac:dyDescent="0.25">
      <c r="A141" s="16"/>
    </row>
    <row r="142" spans="1:1" x14ac:dyDescent="0.25">
      <c r="A142" s="16"/>
    </row>
    <row r="143" spans="1:1" x14ac:dyDescent="0.25">
      <c r="A143" s="16"/>
    </row>
    <row r="144" spans="1:1" x14ac:dyDescent="0.25">
      <c r="A144" s="16"/>
    </row>
    <row r="145" spans="1:1" x14ac:dyDescent="0.25">
      <c r="A145" s="16"/>
    </row>
    <row r="146" spans="1:1" x14ac:dyDescent="0.25">
      <c r="A146" s="16"/>
    </row>
    <row r="147" spans="1:1" x14ac:dyDescent="0.25">
      <c r="A147" s="16"/>
    </row>
    <row r="148" spans="1:1" x14ac:dyDescent="0.25">
      <c r="A148" s="16"/>
    </row>
    <row r="149" spans="1:1" x14ac:dyDescent="0.25">
      <c r="A149" s="16"/>
    </row>
    <row r="150" spans="1:1" x14ac:dyDescent="0.25">
      <c r="A150" s="16"/>
    </row>
    <row r="151" spans="1:1" x14ac:dyDescent="0.25">
      <c r="A151" s="16"/>
    </row>
    <row r="152" spans="1:1" x14ac:dyDescent="0.25">
      <c r="A152" s="16"/>
    </row>
    <row r="153" spans="1:1" x14ac:dyDescent="0.25">
      <c r="A153" s="16"/>
    </row>
  </sheetData>
  <autoFilter ref="A1:J153" xr:uid="{307BE589-6CC3-474D-AB03-17DED04CBEA1}"/>
  <conditionalFormatting sqref="B86">
    <cfRule type="duplicateValues" dxfId="90" priority="2"/>
  </conditionalFormatting>
  <conditionalFormatting sqref="A97:A99">
    <cfRule type="duplicateValues" dxfId="89" priority="2841"/>
  </conditionalFormatting>
  <conditionalFormatting sqref="B87:B99 B1:B85">
    <cfRule type="duplicateValues" dxfId="88" priority="2861"/>
  </conditionalFormatting>
  <conditionalFormatting sqref="A1:A96">
    <cfRule type="duplicateValues" dxfId="87" priority="2936"/>
  </conditionalFormatting>
  <conditionalFormatting sqref="A1:A99">
    <cfRule type="duplicateValues" dxfId="86" priority="2938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FFC99-6E16-42EA-A65B-FA648D578EDB}">
  <sheetPr>
    <tabColor rgb="FF92D050"/>
  </sheetPr>
  <dimension ref="A1:J124"/>
  <sheetViews>
    <sheetView topLeftCell="A101" workbookViewId="0">
      <selection activeCell="E124" sqref="E124"/>
    </sheetView>
  </sheetViews>
  <sheetFormatPr defaultRowHeight="15" x14ac:dyDescent="0.25"/>
  <cols>
    <col min="1" max="1" width="29.85546875" customWidth="1"/>
    <col min="2" max="2" width="58.5703125" customWidth="1"/>
    <col min="8" max="8" width="31" customWidth="1"/>
  </cols>
  <sheetData>
    <row r="1" spans="1:10" x14ac:dyDescent="0.25">
      <c r="A1" s="29" t="s">
        <v>533</v>
      </c>
      <c r="B1" s="48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ht="15.75" x14ac:dyDescent="0.25">
      <c r="A2" s="16" t="s">
        <v>1497</v>
      </c>
      <c r="B2" s="150" t="s">
        <v>1059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33" si="0">IF(A2="","",A2)</f>
        <v>2300+2301+2353+2355+2389</v>
      </c>
      <c r="H2" t="str">
        <f t="shared" ref="H2:H33" si="1">_xlfn.CONCAT(D2,SUBSTITUTE(B2,"""","`"""),E2)</f>
        <v>`CAN LOAN VIA GCASH (NET)&lt;Q&gt;</v>
      </c>
      <c r="I2" t="s">
        <v>518</v>
      </c>
      <c r="J2" t="str">
        <f t="shared" ref="J2:J33" si="2">_xlfn.CONCAT(I2,H2)</f>
        <v>&lt;G1B&gt;`CAN LOAN VIA GCASH (NET)&lt;Q&gt;</v>
      </c>
    </row>
    <row r="3" spans="1:10" x14ac:dyDescent="0.25">
      <c r="A3" s="16">
        <v>2300</v>
      </c>
      <c r="B3" s="148" t="s">
        <v>1060</v>
      </c>
      <c r="C3" t="s">
        <v>16</v>
      </c>
      <c r="D3" t="s">
        <v>318</v>
      </c>
      <c r="F3" t="s">
        <v>326</v>
      </c>
      <c r="G3">
        <f t="shared" si="0"/>
        <v>2300</v>
      </c>
      <c r="H3" t="str">
        <f t="shared" si="1"/>
        <v>`     GCash can help you because you can loan from the brand</v>
      </c>
      <c r="I3" t="s">
        <v>520</v>
      </c>
      <c r="J3" t="str">
        <f t="shared" si="2"/>
        <v>&lt;G2B&gt;&lt;G1P&gt;`     GCash can help you because you can loan from the brand</v>
      </c>
    </row>
    <row r="4" spans="1:10" x14ac:dyDescent="0.25">
      <c r="A4" s="16">
        <v>2301</v>
      </c>
      <c r="B4" s="148" t="s">
        <v>1061</v>
      </c>
      <c r="C4" t="s">
        <v>16</v>
      </c>
      <c r="D4" t="s">
        <v>318</v>
      </c>
      <c r="F4" t="s">
        <v>326</v>
      </c>
      <c r="G4">
        <f t="shared" si="0"/>
        <v>2301</v>
      </c>
      <c r="H4" t="str">
        <f t="shared" si="1"/>
        <v>`     Can loan from GCash</v>
      </c>
      <c r="I4" t="s">
        <v>522</v>
      </c>
      <c r="J4" t="str">
        <f t="shared" si="2"/>
        <v>&lt;G1P&gt;`     Can loan from GCash</v>
      </c>
    </row>
    <row r="5" spans="1:10" x14ac:dyDescent="0.25">
      <c r="A5" s="26">
        <v>2353</v>
      </c>
      <c r="B5" s="149" t="s">
        <v>1062</v>
      </c>
      <c r="C5" t="s">
        <v>16</v>
      </c>
      <c r="D5" t="s">
        <v>318</v>
      </c>
      <c r="F5" t="s">
        <v>326</v>
      </c>
      <c r="G5">
        <f t="shared" si="0"/>
        <v>2353</v>
      </c>
      <c r="H5" t="str">
        <f t="shared" si="1"/>
        <v>`     Can loan on GCash if you need something</v>
      </c>
      <c r="I5" t="s">
        <v>522</v>
      </c>
      <c r="J5" t="str">
        <f t="shared" si="2"/>
        <v>&lt;G1P&gt;`     Can loan on GCash if you need something</v>
      </c>
    </row>
    <row r="6" spans="1:10" x14ac:dyDescent="0.25">
      <c r="A6" s="26">
        <v>2355</v>
      </c>
      <c r="B6" s="149" t="s">
        <v>1063</v>
      </c>
      <c r="C6" t="s">
        <v>16</v>
      </c>
      <c r="D6" t="s">
        <v>318</v>
      </c>
      <c r="F6" t="s">
        <v>326</v>
      </c>
      <c r="G6">
        <f t="shared" si="0"/>
        <v>2355</v>
      </c>
      <c r="H6" t="str">
        <f t="shared" si="1"/>
        <v>`     Can barrow money from Gcash</v>
      </c>
      <c r="I6" t="s">
        <v>522</v>
      </c>
      <c r="J6" t="str">
        <f t="shared" si="2"/>
        <v>&lt;G1P&gt;`     Can barrow money from Gcash</v>
      </c>
    </row>
    <row r="7" spans="1:10" x14ac:dyDescent="0.25">
      <c r="A7" s="24">
        <v>2389</v>
      </c>
      <c r="B7" s="151" t="s">
        <v>1103</v>
      </c>
      <c r="C7" t="s">
        <v>16</v>
      </c>
      <c r="D7" t="s">
        <v>318</v>
      </c>
      <c r="F7" t="s">
        <v>326</v>
      </c>
      <c r="G7">
        <f t="shared" si="0"/>
        <v>2389</v>
      </c>
      <c r="H7" t="str">
        <f t="shared" si="1"/>
        <v>`     Loan availability at GCash</v>
      </c>
      <c r="I7" t="s">
        <v>521</v>
      </c>
      <c r="J7" t="str">
        <f t="shared" si="2"/>
        <v>&lt;G2E&gt;&lt;G1P&gt;`     Loan availability at GCash</v>
      </c>
    </row>
    <row r="8" spans="1:10" ht="31.5" x14ac:dyDescent="0.25">
      <c r="A8" s="16">
        <v>2402</v>
      </c>
      <c r="B8" s="150" t="s">
        <v>1493</v>
      </c>
      <c r="C8" t="s">
        <v>6</v>
      </c>
      <c r="D8" t="s">
        <v>323</v>
      </c>
      <c r="E8" t="s">
        <v>322</v>
      </c>
      <c r="F8" t="s">
        <v>327</v>
      </c>
      <c r="G8">
        <f t="shared" si="0"/>
        <v>2402</v>
      </c>
      <c r="H8" t="str">
        <f t="shared" si="1"/>
        <v>`CAN LOAN FROM GCASH TO PAY BILLS NET (NET)&lt;Q&gt;</v>
      </c>
      <c r="J8" t="str">
        <f t="shared" si="2"/>
        <v>`CAN LOAN FROM GCASH TO PAY BILLS NET (NET)&lt;Q&gt;</v>
      </c>
    </row>
    <row r="9" spans="1:10" x14ac:dyDescent="0.25">
      <c r="A9" s="25">
        <v>2402</v>
      </c>
      <c r="B9" s="152" t="s">
        <v>1064</v>
      </c>
      <c r="C9" t="s">
        <v>16</v>
      </c>
      <c r="D9" t="s">
        <v>318</v>
      </c>
      <c r="F9" t="s">
        <v>326</v>
      </c>
      <c r="G9">
        <f t="shared" si="0"/>
        <v>2402</v>
      </c>
      <c r="H9" t="str">
        <f t="shared" si="1"/>
        <v>`     Can loan from GCash for your paying bills</v>
      </c>
      <c r="I9" t="s">
        <v>522</v>
      </c>
      <c r="J9" t="str">
        <f t="shared" si="2"/>
        <v>&lt;G1P&gt;`     Can loan from GCash for your paying bills</v>
      </c>
    </row>
    <row r="10" spans="1:10" ht="42.75" x14ac:dyDescent="0.25">
      <c r="A10" s="16" t="s">
        <v>1498</v>
      </c>
      <c r="B10" s="150" t="s">
        <v>1065</v>
      </c>
      <c r="C10" t="s">
        <v>6</v>
      </c>
      <c r="D10" t="s">
        <v>323</v>
      </c>
      <c r="E10" t="s">
        <v>322</v>
      </c>
      <c r="F10" t="s">
        <v>327</v>
      </c>
      <c r="G10" t="str">
        <f t="shared" si="0"/>
        <v>2302+2303+2346+2351+2354+2356+2357+2372+2378+2407</v>
      </c>
      <c r="H10" t="str">
        <f t="shared" si="1"/>
        <v>`GCASH IS A RELIABLE BRAND (NET)&lt;Q&gt;</v>
      </c>
      <c r="J10" t="str">
        <f t="shared" si="2"/>
        <v>`GCASH IS A RELIABLE BRAND (NET)&lt;Q&gt;</v>
      </c>
    </row>
    <row r="11" spans="1:10" x14ac:dyDescent="0.25">
      <c r="A11" s="16">
        <v>2302</v>
      </c>
      <c r="B11" s="148" t="s">
        <v>1066</v>
      </c>
      <c r="C11" t="s">
        <v>16</v>
      </c>
      <c r="D11" t="s">
        <v>318</v>
      </c>
      <c r="F11" t="s">
        <v>326</v>
      </c>
      <c r="G11">
        <f t="shared" si="0"/>
        <v>2302</v>
      </c>
      <c r="H11" t="str">
        <f t="shared" si="1"/>
        <v>`     No need to worry because you can rely in GCash loan</v>
      </c>
      <c r="I11" t="s">
        <v>520</v>
      </c>
      <c r="J11" t="str">
        <f t="shared" si="2"/>
        <v>&lt;G2B&gt;&lt;G1P&gt;`     No need to worry because you can rely in GCash loan</v>
      </c>
    </row>
    <row r="12" spans="1:10" x14ac:dyDescent="0.25">
      <c r="A12" s="16">
        <v>2303</v>
      </c>
      <c r="B12" s="148" t="s">
        <v>1067</v>
      </c>
      <c r="C12" t="s">
        <v>16</v>
      </c>
      <c r="D12" t="s">
        <v>318</v>
      </c>
      <c r="F12" t="s">
        <v>326</v>
      </c>
      <c r="G12">
        <f t="shared" si="0"/>
        <v>2303</v>
      </c>
      <c r="H12" t="str">
        <f t="shared" si="1"/>
        <v>`     GCash is reliable for loaning</v>
      </c>
      <c r="I12" t="s">
        <v>522</v>
      </c>
      <c r="J12" t="str">
        <f t="shared" si="2"/>
        <v>&lt;G1P&gt;`     GCash is reliable for loaning</v>
      </c>
    </row>
    <row r="13" spans="1:10" x14ac:dyDescent="0.25">
      <c r="A13" s="26">
        <v>2346</v>
      </c>
      <c r="B13" s="149" t="s">
        <v>735</v>
      </c>
      <c r="C13" t="s">
        <v>16</v>
      </c>
      <c r="D13" t="s">
        <v>318</v>
      </c>
      <c r="F13" t="s">
        <v>326</v>
      </c>
      <c r="G13">
        <f t="shared" si="0"/>
        <v>2346</v>
      </c>
      <c r="H13" t="str">
        <f t="shared" si="1"/>
        <v>`     GCash is reliable</v>
      </c>
      <c r="I13" t="s">
        <v>522</v>
      </c>
      <c r="J13" t="str">
        <f t="shared" si="2"/>
        <v>&lt;G1P&gt;`     GCash is reliable</v>
      </c>
    </row>
    <row r="14" spans="1:10" x14ac:dyDescent="0.25">
      <c r="A14" s="26">
        <v>2351</v>
      </c>
      <c r="B14" s="149" t="s">
        <v>1068</v>
      </c>
      <c r="C14" t="s">
        <v>16</v>
      </c>
      <c r="D14" t="s">
        <v>318</v>
      </c>
      <c r="F14" t="s">
        <v>326</v>
      </c>
      <c r="G14">
        <f t="shared" si="0"/>
        <v>2351</v>
      </c>
      <c r="H14" t="str">
        <f t="shared" si="1"/>
        <v>`     No need to worry because there is already GLoan on GCash</v>
      </c>
      <c r="I14" t="s">
        <v>522</v>
      </c>
      <c r="J14" t="str">
        <f t="shared" si="2"/>
        <v>&lt;G1P&gt;`     No need to worry because there is already GLoan on GCash</v>
      </c>
    </row>
    <row r="15" spans="1:10" x14ac:dyDescent="0.25">
      <c r="A15" s="26">
        <v>2354</v>
      </c>
      <c r="B15" s="149" t="s">
        <v>1069</v>
      </c>
      <c r="C15" t="s">
        <v>16</v>
      </c>
      <c r="D15" t="s">
        <v>318</v>
      </c>
      <c r="F15" t="s">
        <v>326</v>
      </c>
      <c r="G15">
        <f t="shared" si="0"/>
        <v>2354</v>
      </c>
      <c r="H15" t="str">
        <f t="shared" si="1"/>
        <v>`     GCash is reliable in times of emergency</v>
      </c>
      <c r="I15" t="s">
        <v>522</v>
      </c>
      <c r="J15" t="str">
        <f t="shared" si="2"/>
        <v>&lt;G1P&gt;`     GCash is reliable in times of emergency</v>
      </c>
    </row>
    <row r="16" spans="1:10" x14ac:dyDescent="0.25">
      <c r="A16" s="26">
        <v>2356</v>
      </c>
      <c r="B16" s="149" t="s">
        <v>1070</v>
      </c>
      <c r="C16" t="s">
        <v>16</v>
      </c>
      <c r="D16" t="s">
        <v>318</v>
      </c>
      <c r="F16" t="s">
        <v>326</v>
      </c>
      <c r="G16">
        <f t="shared" si="0"/>
        <v>2356</v>
      </c>
      <c r="H16" t="str">
        <f t="shared" si="1"/>
        <v>`     Gcash is reliable on online transactions</v>
      </c>
      <c r="I16" t="s">
        <v>522</v>
      </c>
      <c r="J16" t="str">
        <f t="shared" si="2"/>
        <v>&lt;G1P&gt;`     Gcash is reliable on online transactions</v>
      </c>
    </row>
    <row r="17" spans="1:10" x14ac:dyDescent="0.25">
      <c r="A17" s="26">
        <v>2357</v>
      </c>
      <c r="B17" s="149" t="s">
        <v>1071</v>
      </c>
      <c r="C17" t="s">
        <v>16</v>
      </c>
      <c r="D17" t="s">
        <v>318</v>
      </c>
      <c r="F17" t="s">
        <v>326</v>
      </c>
      <c r="G17">
        <f t="shared" si="0"/>
        <v>2357</v>
      </c>
      <c r="H17" t="str">
        <f t="shared" si="1"/>
        <v>`     Gcash is reliable in times of need</v>
      </c>
      <c r="I17" t="s">
        <v>522</v>
      </c>
      <c r="J17" t="str">
        <f t="shared" si="2"/>
        <v>&lt;G1P&gt;`     Gcash is reliable in times of need</v>
      </c>
    </row>
    <row r="18" spans="1:10" x14ac:dyDescent="0.25">
      <c r="A18" s="26">
        <v>2372</v>
      </c>
      <c r="B18" s="149" t="s">
        <v>1072</v>
      </c>
      <c r="C18" t="s">
        <v>16</v>
      </c>
      <c r="D18" t="s">
        <v>318</v>
      </c>
      <c r="F18" t="s">
        <v>326</v>
      </c>
      <c r="G18">
        <f t="shared" si="0"/>
        <v>2372</v>
      </c>
      <c r="H18" t="str">
        <f t="shared" si="1"/>
        <v>`     Can rely financially</v>
      </c>
      <c r="I18" t="s">
        <v>522</v>
      </c>
      <c r="J18" t="str">
        <f t="shared" si="2"/>
        <v>&lt;G1P&gt;`     Can rely financially</v>
      </c>
    </row>
    <row r="19" spans="1:10" x14ac:dyDescent="0.25">
      <c r="A19" s="26">
        <v>2378</v>
      </c>
      <c r="B19" s="149" t="s">
        <v>1073</v>
      </c>
      <c r="C19" t="s">
        <v>16</v>
      </c>
      <c r="D19" t="s">
        <v>318</v>
      </c>
      <c r="F19" t="s">
        <v>326</v>
      </c>
      <c r="G19">
        <f t="shared" si="0"/>
        <v>2378</v>
      </c>
      <c r="H19" t="str">
        <f t="shared" si="1"/>
        <v>`     Reliable on expenses</v>
      </c>
      <c r="I19" t="s">
        <v>522</v>
      </c>
      <c r="J19" t="str">
        <f t="shared" si="2"/>
        <v>&lt;G1P&gt;`     Reliable on expenses</v>
      </c>
    </row>
    <row r="20" spans="1:10" x14ac:dyDescent="0.25">
      <c r="A20" s="25">
        <v>2407</v>
      </c>
      <c r="B20" s="152" t="s">
        <v>1114</v>
      </c>
      <c r="C20" t="s">
        <v>16</v>
      </c>
      <c r="D20" t="s">
        <v>318</v>
      </c>
      <c r="F20" t="s">
        <v>326</v>
      </c>
      <c r="G20">
        <f t="shared" si="0"/>
        <v>2407</v>
      </c>
      <c r="H20" t="str">
        <f t="shared" si="1"/>
        <v>`     Gloan in Gcash is reliable especially in times of need</v>
      </c>
      <c r="I20" t="s">
        <v>521</v>
      </c>
      <c r="J20" t="str">
        <f t="shared" si="2"/>
        <v>&lt;G2E&gt;&lt;G1P&gt;`     Gloan in Gcash is reliable especially in times of need</v>
      </c>
    </row>
    <row r="21" spans="1:10" ht="31.5" x14ac:dyDescent="0.25">
      <c r="A21" s="16" t="s">
        <v>1499</v>
      </c>
      <c r="B21" s="150" t="s">
        <v>1074</v>
      </c>
      <c r="C21" t="s">
        <v>6</v>
      </c>
      <c r="D21" t="s">
        <v>323</v>
      </c>
      <c r="E21" t="s">
        <v>322</v>
      </c>
      <c r="F21" t="s">
        <v>327</v>
      </c>
      <c r="G21" t="str">
        <f t="shared" si="0"/>
        <v>2304+2305+2306+2369+2406</v>
      </c>
      <c r="H21" t="str">
        <f t="shared" si="1"/>
        <v>`LOAN TO AUGMENT INCOME AND DAILY EXPENSES (NET)&lt;Q&gt;</v>
      </c>
      <c r="J21" t="str">
        <f t="shared" si="2"/>
        <v>`LOAN TO AUGMENT INCOME AND DAILY EXPENSES (NET)&lt;Q&gt;</v>
      </c>
    </row>
    <row r="22" spans="1:10" x14ac:dyDescent="0.25">
      <c r="A22" s="16">
        <v>2304</v>
      </c>
      <c r="B22" s="148" t="s">
        <v>1075</v>
      </c>
      <c r="C22" t="s">
        <v>16</v>
      </c>
      <c r="D22" t="s">
        <v>318</v>
      </c>
      <c r="F22" t="s">
        <v>326</v>
      </c>
      <c r="G22">
        <f t="shared" si="0"/>
        <v>2304</v>
      </c>
      <c r="H22" t="str">
        <f t="shared" si="1"/>
        <v>`     Loan to pay for expenses</v>
      </c>
      <c r="I22" t="s">
        <v>520</v>
      </c>
      <c r="J22" t="str">
        <f t="shared" si="2"/>
        <v>&lt;G2B&gt;&lt;G1P&gt;`     Loan to pay for expenses</v>
      </c>
    </row>
    <row r="23" spans="1:10" x14ac:dyDescent="0.25">
      <c r="A23" s="30">
        <v>2305</v>
      </c>
      <c r="B23" s="148" t="s">
        <v>1076</v>
      </c>
      <c r="C23" t="s">
        <v>16</v>
      </c>
      <c r="D23" t="s">
        <v>318</v>
      </c>
      <c r="F23" t="s">
        <v>326</v>
      </c>
      <c r="G23">
        <f t="shared" si="0"/>
        <v>2305</v>
      </c>
      <c r="H23" t="str">
        <f t="shared" si="1"/>
        <v>`     GCash is reliable when we have multiple expenses</v>
      </c>
      <c r="I23" t="s">
        <v>522</v>
      </c>
      <c r="J23" t="str">
        <f t="shared" si="2"/>
        <v>&lt;G1P&gt;`     GCash is reliable when we have multiple expenses</v>
      </c>
    </row>
    <row r="24" spans="1:10" x14ac:dyDescent="0.25">
      <c r="A24" s="30">
        <v>2306</v>
      </c>
      <c r="B24" s="148" t="s">
        <v>1077</v>
      </c>
      <c r="C24" t="s">
        <v>16</v>
      </c>
      <c r="D24" t="s">
        <v>318</v>
      </c>
      <c r="F24" t="s">
        <v>326</v>
      </c>
      <c r="G24">
        <f t="shared" si="0"/>
        <v>2306</v>
      </c>
      <c r="H24" t="str">
        <f t="shared" si="1"/>
        <v>`     GLoan can be used for my needs</v>
      </c>
      <c r="I24" t="s">
        <v>522</v>
      </c>
      <c r="J24" t="str">
        <f t="shared" si="2"/>
        <v>&lt;G1P&gt;`     GLoan can be used for my needs</v>
      </c>
    </row>
    <row r="25" spans="1:10" x14ac:dyDescent="0.25">
      <c r="A25" s="47">
        <v>2369</v>
      </c>
      <c r="B25" s="149" t="s">
        <v>1078</v>
      </c>
      <c r="C25" t="s">
        <v>16</v>
      </c>
      <c r="D25" t="s">
        <v>318</v>
      </c>
      <c r="F25" t="s">
        <v>326</v>
      </c>
      <c r="G25">
        <f t="shared" si="0"/>
        <v>2369</v>
      </c>
      <c r="H25" t="str">
        <f t="shared" si="1"/>
        <v>`     Can get loan on GCash to pay all expenses</v>
      </c>
      <c r="I25" t="s">
        <v>522</v>
      </c>
      <c r="J25" t="str">
        <f t="shared" si="2"/>
        <v>&lt;G1P&gt;`     Can get loan on GCash to pay all expenses</v>
      </c>
    </row>
    <row r="26" spans="1:10" x14ac:dyDescent="0.25">
      <c r="A26" s="25">
        <v>2406</v>
      </c>
      <c r="B26" s="152" t="s">
        <v>1113</v>
      </c>
      <c r="C26" t="s">
        <v>16</v>
      </c>
      <c r="D26" t="s">
        <v>318</v>
      </c>
      <c r="F26" t="s">
        <v>326</v>
      </c>
      <c r="G26">
        <f t="shared" si="0"/>
        <v>2406</v>
      </c>
      <c r="H26" t="str">
        <f t="shared" si="1"/>
        <v>`     Even if the fees are stacked, Gcash is there</v>
      </c>
      <c r="I26" t="s">
        <v>521</v>
      </c>
      <c r="J26" t="str">
        <f t="shared" si="2"/>
        <v>&lt;G2E&gt;&lt;G1P&gt;`     Even if the fees are stacked, Gcash is there</v>
      </c>
    </row>
    <row r="27" spans="1:10" ht="31.5" x14ac:dyDescent="0.25">
      <c r="A27" s="32" t="s">
        <v>1500</v>
      </c>
      <c r="B27" s="150" t="s">
        <v>1079</v>
      </c>
      <c r="C27" t="s">
        <v>6</v>
      </c>
      <c r="D27" t="s">
        <v>323</v>
      </c>
      <c r="E27" t="s">
        <v>322</v>
      </c>
      <c r="F27" t="s">
        <v>327</v>
      </c>
      <c r="G27" t="str">
        <f t="shared" si="0"/>
        <v>2307+2392+2393</v>
      </c>
      <c r="H27" t="str">
        <f t="shared" si="1"/>
        <v>`ABLE TO HELP FINISH STUDIES WITH THE HELP OF GLOAN (NET)&lt;Q&gt;</v>
      </c>
      <c r="J27" t="str">
        <f t="shared" si="2"/>
        <v>`ABLE TO HELP FINISH STUDIES WITH THE HELP OF GLOAN (NET)&lt;Q&gt;</v>
      </c>
    </row>
    <row r="28" spans="1:10" x14ac:dyDescent="0.25">
      <c r="A28" s="32">
        <v>2307</v>
      </c>
      <c r="B28" s="148" t="s">
        <v>1080</v>
      </c>
      <c r="C28" t="s">
        <v>16</v>
      </c>
      <c r="D28" t="s">
        <v>318</v>
      </c>
      <c r="F28" t="s">
        <v>326</v>
      </c>
      <c r="G28">
        <f t="shared" si="0"/>
        <v>2307</v>
      </c>
      <c r="H28" t="str">
        <f t="shared" si="1"/>
        <v>`     Her son was able to finish studies with the help of GLoan</v>
      </c>
      <c r="I28" t="s">
        <v>520</v>
      </c>
      <c r="J28" t="str">
        <f t="shared" si="2"/>
        <v>&lt;G2B&gt;&lt;G1P&gt;`     Her son was able to finish studies with the help of GLoan</v>
      </c>
    </row>
    <row r="29" spans="1:10" x14ac:dyDescent="0.25">
      <c r="A29" s="24">
        <v>2392</v>
      </c>
      <c r="B29" s="151" t="s">
        <v>1139</v>
      </c>
      <c r="C29" t="s">
        <v>16</v>
      </c>
      <c r="D29" t="s">
        <v>318</v>
      </c>
      <c r="F29" t="s">
        <v>326</v>
      </c>
      <c r="G29">
        <f t="shared" si="0"/>
        <v>2392</v>
      </c>
      <c r="H29" t="str">
        <f t="shared" si="1"/>
        <v>`     Can avail services such as educational loans</v>
      </c>
      <c r="I29" t="s">
        <v>522</v>
      </c>
      <c r="J29" t="str">
        <f t="shared" si="2"/>
        <v>&lt;G1P&gt;`     Can avail services such as educational loans</v>
      </c>
    </row>
    <row r="30" spans="1:10" x14ac:dyDescent="0.25">
      <c r="A30" s="24">
        <v>2393</v>
      </c>
      <c r="B30" s="151" t="s">
        <v>783</v>
      </c>
      <c r="C30" t="s">
        <v>16</v>
      </c>
      <c r="D30" t="s">
        <v>318</v>
      </c>
      <c r="F30" t="s">
        <v>326</v>
      </c>
      <c r="G30">
        <f t="shared" si="0"/>
        <v>2393</v>
      </c>
      <c r="H30" t="str">
        <f t="shared" si="1"/>
        <v>`     GCash is a big help</v>
      </c>
      <c r="I30" t="s">
        <v>521</v>
      </c>
      <c r="J30" t="str">
        <f t="shared" si="2"/>
        <v>&lt;G2E&gt;&lt;G1P&gt;`     GCash is a big help</v>
      </c>
    </row>
    <row r="31" spans="1:10" ht="15.75" x14ac:dyDescent="0.25">
      <c r="A31" s="32" t="s">
        <v>1148</v>
      </c>
      <c r="B31" s="150" t="s">
        <v>1081</v>
      </c>
      <c r="C31" t="s">
        <v>6</v>
      </c>
      <c r="D31" t="s">
        <v>323</v>
      </c>
      <c r="E31" t="s">
        <v>322</v>
      </c>
      <c r="F31" t="s">
        <v>327</v>
      </c>
      <c r="G31" t="str">
        <f t="shared" si="0"/>
        <v>2308+2309+2310</v>
      </c>
      <c r="H31" t="str">
        <f t="shared" si="1"/>
        <v>`CAN USE GLOAN ANYTIME (NET)&lt;Q&gt;</v>
      </c>
      <c r="J31" t="str">
        <f t="shared" si="2"/>
        <v>`CAN USE GLOAN ANYTIME (NET)&lt;Q&gt;</v>
      </c>
    </row>
    <row r="32" spans="1:10" x14ac:dyDescent="0.25">
      <c r="A32" s="32">
        <v>2308</v>
      </c>
      <c r="B32" s="148" t="s">
        <v>1082</v>
      </c>
      <c r="C32" t="s">
        <v>16</v>
      </c>
      <c r="D32" t="s">
        <v>318</v>
      </c>
      <c r="F32" t="s">
        <v>326</v>
      </c>
      <c r="G32">
        <f t="shared" si="0"/>
        <v>2308</v>
      </c>
      <c r="H32" t="str">
        <f t="shared" si="1"/>
        <v>`     Can use GLoan anytime</v>
      </c>
      <c r="I32" t="s">
        <v>520</v>
      </c>
      <c r="J32" t="str">
        <f t="shared" si="2"/>
        <v>&lt;G2B&gt;&lt;G1P&gt;`     Can use GLoan anytime</v>
      </c>
    </row>
    <row r="33" spans="1:10" x14ac:dyDescent="0.25">
      <c r="A33" s="32">
        <v>2309</v>
      </c>
      <c r="B33" s="148" t="s">
        <v>1022</v>
      </c>
      <c r="C33" t="s">
        <v>16</v>
      </c>
      <c r="D33" t="s">
        <v>318</v>
      </c>
      <c r="F33" t="s">
        <v>326</v>
      </c>
      <c r="G33">
        <f t="shared" si="0"/>
        <v>2309</v>
      </c>
      <c r="H33" t="str">
        <f t="shared" si="1"/>
        <v>`     Can loan anytime</v>
      </c>
      <c r="I33" t="s">
        <v>522</v>
      </c>
      <c r="J33" t="str">
        <f t="shared" si="2"/>
        <v>&lt;G1P&gt;`     Can loan anytime</v>
      </c>
    </row>
    <row r="34" spans="1:10" x14ac:dyDescent="0.25">
      <c r="A34" s="32">
        <v>2310</v>
      </c>
      <c r="B34" s="148" t="s">
        <v>1083</v>
      </c>
      <c r="C34" t="s">
        <v>16</v>
      </c>
      <c r="D34" t="s">
        <v>318</v>
      </c>
      <c r="F34" t="s">
        <v>326</v>
      </c>
      <c r="G34">
        <f t="shared" ref="G34:G65" si="3">IF(A34="","",A34)</f>
        <v>2310</v>
      </c>
      <c r="H34" t="str">
        <f t="shared" ref="H34:H65" si="4">_xlfn.CONCAT(D34,SUBSTITUTE(B34,"""","`"""),E34)</f>
        <v>`     Can loan from GCash anytime</v>
      </c>
      <c r="I34" t="s">
        <v>521</v>
      </c>
      <c r="J34" t="str">
        <f t="shared" ref="J34:J65" si="5">_xlfn.CONCAT(I34,H34)</f>
        <v>&lt;G2E&gt;&lt;G1P&gt;`     Can loan from GCash anytime</v>
      </c>
    </row>
    <row r="35" spans="1:10" ht="15.75" x14ac:dyDescent="0.25">
      <c r="A35" s="32" t="s">
        <v>1149</v>
      </c>
      <c r="B35" s="150" t="s">
        <v>1084</v>
      </c>
      <c r="C35" t="s">
        <v>6</v>
      </c>
      <c r="D35" t="s">
        <v>323</v>
      </c>
      <c r="E35" t="s">
        <v>322</v>
      </c>
      <c r="F35" t="s">
        <v>327</v>
      </c>
      <c r="G35" t="str">
        <f t="shared" si="3"/>
        <v>2314+2315+2347</v>
      </c>
      <c r="H35" t="str">
        <f t="shared" si="4"/>
        <v>`ABOUT GCASH PRODUCTS (NET)&lt;Q&gt;</v>
      </c>
      <c r="J35" t="str">
        <f t="shared" si="5"/>
        <v>`ABOUT GCASH PRODUCTS (NET)&lt;Q&gt;</v>
      </c>
    </row>
    <row r="36" spans="1:10" x14ac:dyDescent="0.25">
      <c r="A36" s="32">
        <v>2314</v>
      </c>
      <c r="B36" s="148" t="s">
        <v>1085</v>
      </c>
      <c r="C36" t="s">
        <v>16</v>
      </c>
      <c r="D36" t="s">
        <v>318</v>
      </c>
      <c r="F36" t="s">
        <v>326</v>
      </c>
      <c r="G36">
        <f t="shared" si="3"/>
        <v>2314</v>
      </c>
      <c r="H36" t="str">
        <f t="shared" si="4"/>
        <v>`     GCash has good products</v>
      </c>
      <c r="I36" t="s">
        <v>520</v>
      </c>
      <c r="J36" t="str">
        <f t="shared" si="5"/>
        <v>&lt;G2B&gt;&lt;G1P&gt;`     GCash has good products</v>
      </c>
    </row>
    <row r="37" spans="1:10" x14ac:dyDescent="0.25">
      <c r="A37" s="32">
        <v>2315</v>
      </c>
      <c r="B37" s="148" t="s">
        <v>1086</v>
      </c>
      <c r="C37" t="s">
        <v>16</v>
      </c>
      <c r="D37" t="s">
        <v>318</v>
      </c>
      <c r="F37" t="s">
        <v>326</v>
      </c>
      <c r="G37">
        <f t="shared" si="3"/>
        <v>2315</v>
      </c>
      <c r="H37" t="str">
        <f t="shared" si="4"/>
        <v>`     Awesome</v>
      </c>
      <c r="I37" t="s">
        <v>522</v>
      </c>
      <c r="J37" t="str">
        <f t="shared" si="5"/>
        <v>&lt;G1P&gt;`     Awesome</v>
      </c>
    </row>
    <row r="38" spans="1:10" x14ac:dyDescent="0.25">
      <c r="A38" s="85">
        <v>2347</v>
      </c>
      <c r="B38" s="149" t="s">
        <v>1087</v>
      </c>
      <c r="C38" t="s">
        <v>16</v>
      </c>
      <c r="D38" t="s">
        <v>318</v>
      </c>
      <c r="F38" t="s">
        <v>326</v>
      </c>
      <c r="G38">
        <f t="shared" si="3"/>
        <v>2347</v>
      </c>
      <c r="H38" t="str">
        <f t="shared" si="4"/>
        <v>`     GCash is good in eveything</v>
      </c>
      <c r="I38" t="s">
        <v>521</v>
      </c>
      <c r="J38" t="str">
        <f t="shared" si="5"/>
        <v>&lt;G2E&gt;&lt;G1P&gt;`     GCash is good in eveything</v>
      </c>
    </row>
    <row r="39" spans="1:10" ht="31.5" x14ac:dyDescent="0.25">
      <c r="A39" s="16" t="s">
        <v>1150</v>
      </c>
      <c r="B39" s="150" t="s">
        <v>1088</v>
      </c>
      <c r="C39" t="s">
        <v>6</v>
      </c>
      <c r="D39" t="s">
        <v>323</v>
      </c>
      <c r="E39" t="s">
        <v>322</v>
      </c>
      <c r="F39" t="s">
        <v>327</v>
      </c>
      <c r="G39" t="str">
        <f t="shared" si="3"/>
        <v>2316+2317+2318+2319+2320+2349+2367+2376</v>
      </c>
      <c r="H39" t="str">
        <f t="shared" si="4"/>
        <v>`CAN LOAN FOR GRADUATION/SCHOOL EXPENSES (NET)&lt;Q&gt;</v>
      </c>
      <c r="J39" t="str">
        <f t="shared" si="5"/>
        <v>`CAN LOAN FOR GRADUATION/SCHOOL EXPENSES (NET)&lt;Q&gt;</v>
      </c>
    </row>
    <row r="40" spans="1:10" x14ac:dyDescent="0.25">
      <c r="A40" s="16">
        <v>2316</v>
      </c>
      <c r="B40" s="148" t="s">
        <v>1089</v>
      </c>
      <c r="C40" t="s">
        <v>16</v>
      </c>
      <c r="D40" t="s">
        <v>318</v>
      </c>
      <c r="F40" t="s">
        <v>326</v>
      </c>
      <c r="G40">
        <f t="shared" si="3"/>
        <v>2316</v>
      </c>
      <c r="H40" t="str">
        <f t="shared" si="4"/>
        <v>`     Can loan to use for graduation</v>
      </c>
      <c r="I40" t="s">
        <v>520</v>
      </c>
      <c r="J40" t="str">
        <f t="shared" si="5"/>
        <v>&lt;G2B&gt;&lt;G1P&gt;`     Can loan to use for graduation</v>
      </c>
    </row>
    <row r="41" spans="1:10" x14ac:dyDescent="0.25">
      <c r="A41" s="16">
        <v>2317</v>
      </c>
      <c r="B41" s="148" t="s">
        <v>1090</v>
      </c>
      <c r="C41" t="s">
        <v>16</v>
      </c>
      <c r="D41" t="s">
        <v>318</v>
      </c>
      <c r="F41" t="s">
        <v>326</v>
      </c>
      <c r="G41">
        <f t="shared" si="3"/>
        <v>2317</v>
      </c>
      <c r="H41" t="str">
        <f t="shared" si="4"/>
        <v>`     Can loan for school expenses</v>
      </c>
      <c r="I41" t="s">
        <v>522</v>
      </c>
      <c r="J41" t="str">
        <f t="shared" si="5"/>
        <v>&lt;G1P&gt;`     Can loan for school expenses</v>
      </c>
    </row>
    <row r="42" spans="1:10" x14ac:dyDescent="0.25">
      <c r="A42" s="16">
        <v>2318</v>
      </c>
      <c r="B42" s="148" t="s">
        <v>1091</v>
      </c>
      <c r="C42" t="s">
        <v>16</v>
      </c>
      <c r="D42" t="s">
        <v>318</v>
      </c>
      <c r="F42" t="s">
        <v>326</v>
      </c>
      <c r="G42">
        <f t="shared" si="3"/>
        <v>2318</v>
      </c>
      <c r="H42" t="str">
        <f t="shared" si="4"/>
        <v>`     Can loan from GCash for school expenses</v>
      </c>
      <c r="I42" t="s">
        <v>522</v>
      </c>
      <c r="J42" t="str">
        <f t="shared" si="5"/>
        <v>&lt;G1P&gt;`     Can loan from GCash for school expenses</v>
      </c>
    </row>
    <row r="43" spans="1:10" x14ac:dyDescent="0.25">
      <c r="A43" s="16">
        <v>2319</v>
      </c>
      <c r="B43" s="148" t="s">
        <v>1092</v>
      </c>
      <c r="C43" t="s">
        <v>16</v>
      </c>
      <c r="D43" t="s">
        <v>318</v>
      </c>
      <c r="F43" t="s">
        <v>326</v>
      </c>
      <c r="G43">
        <f t="shared" si="3"/>
        <v>2319</v>
      </c>
      <c r="H43" t="str">
        <f t="shared" si="4"/>
        <v>`     Can be used for school expenses</v>
      </c>
      <c r="I43" t="s">
        <v>522</v>
      </c>
      <c r="J43" t="str">
        <f t="shared" si="5"/>
        <v>&lt;G1P&gt;`     Can be used for school expenses</v>
      </c>
    </row>
    <row r="44" spans="1:10" x14ac:dyDescent="0.25">
      <c r="A44" s="16">
        <v>2320</v>
      </c>
      <c r="B44" s="148" t="s">
        <v>1093</v>
      </c>
      <c r="C44" t="s">
        <v>16</v>
      </c>
      <c r="D44" t="s">
        <v>318</v>
      </c>
      <c r="F44" t="s">
        <v>326</v>
      </c>
      <c r="G44">
        <f t="shared" si="3"/>
        <v>2320</v>
      </c>
      <c r="H44" t="str">
        <f t="shared" si="4"/>
        <v>`     Can loan from GCash to pay for tuition fee</v>
      </c>
      <c r="I44" t="s">
        <v>522</v>
      </c>
      <c r="J44" t="str">
        <f t="shared" si="5"/>
        <v>&lt;G1P&gt;`     Can loan from GCash to pay for tuition fee</v>
      </c>
    </row>
    <row r="45" spans="1:10" x14ac:dyDescent="0.25">
      <c r="A45" s="26">
        <v>2349</v>
      </c>
      <c r="B45" s="149" t="s">
        <v>1094</v>
      </c>
      <c r="C45" t="s">
        <v>16</v>
      </c>
      <c r="D45" t="s">
        <v>318</v>
      </c>
      <c r="F45" t="s">
        <v>326</v>
      </c>
      <c r="G45">
        <f t="shared" si="3"/>
        <v>2349</v>
      </c>
      <c r="H45" t="str">
        <f t="shared" si="4"/>
        <v>`     Can loan from GCash to graduate in school</v>
      </c>
      <c r="I45" t="s">
        <v>522</v>
      </c>
      <c r="J45" t="str">
        <f t="shared" si="5"/>
        <v>&lt;G1P&gt;`     Can loan from GCash to graduate in school</v>
      </c>
    </row>
    <row r="46" spans="1:10" x14ac:dyDescent="0.25">
      <c r="A46" s="26">
        <v>2367</v>
      </c>
      <c r="B46" s="149" t="s">
        <v>1095</v>
      </c>
      <c r="C46" t="s">
        <v>16</v>
      </c>
      <c r="D46" t="s">
        <v>318</v>
      </c>
      <c r="F46" t="s">
        <v>326</v>
      </c>
      <c r="G46">
        <f t="shared" si="3"/>
        <v>2367</v>
      </c>
      <c r="H46" t="str">
        <f t="shared" si="4"/>
        <v>`     Can be use to pay graduation fee using GLoan</v>
      </c>
      <c r="I46" t="s">
        <v>522</v>
      </c>
      <c r="J46" t="str">
        <f t="shared" si="5"/>
        <v>&lt;G1P&gt;`     Can be use to pay graduation fee using GLoan</v>
      </c>
    </row>
    <row r="47" spans="1:10" x14ac:dyDescent="0.25">
      <c r="A47" s="26">
        <v>2376</v>
      </c>
      <c r="B47" s="149" t="s">
        <v>1096</v>
      </c>
      <c r="C47" t="s">
        <v>16</v>
      </c>
      <c r="D47" t="s">
        <v>318</v>
      </c>
      <c r="F47" t="s">
        <v>326</v>
      </c>
      <c r="G47">
        <f t="shared" si="3"/>
        <v>2376</v>
      </c>
      <c r="H47" t="str">
        <f t="shared" si="4"/>
        <v>`     Can loan to pay for tuition fee</v>
      </c>
      <c r="I47" t="s">
        <v>521</v>
      </c>
      <c r="J47" t="str">
        <f t="shared" si="5"/>
        <v>&lt;G2E&gt;&lt;G1P&gt;`     Can loan to pay for tuition fee</v>
      </c>
    </row>
    <row r="48" spans="1:10" ht="15.75" x14ac:dyDescent="0.25">
      <c r="A48" s="16">
        <v>2358</v>
      </c>
      <c r="B48" s="150" t="s">
        <v>999</v>
      </c>
      <c r="C48" t="s">
        <v>6</v>
      </c>
      <c r="D48" t="s">
        <v>323</v>
      </c>
      <c r="E48" t="s">
        <v>322</v>
      </c>
      <c r="F48" t="s">
        <v>327</v>
      </c>
      <c r="G48">
        <f t="shared" si="3"/>
        <v>2358</v>
      </c>
      <c r="H48" t="str">
        <f t="shared" si="4"/>
        <v>`CAN GET LOAN FAST FROM GCASH (NET)&lt;Q&gt;</v>
      </c>
      <c r="J48" t="str">
        <f t="shared" si="5"/>
        <v>`CAN GET LOAN FAST FROM GCASH (NET)&lt;Q&gt;</v>
      </c>
    </row>
    <row r="49" spans="1:10" x14ac:dyDescent="0.25">
      <c r="A49" s="26">
        <v>2358</v>
      </c>
      <c r="B49" s="149" t="s">
        <v>1000</v>
      </c>
      <c r="C49" t="s">
        <v>16</v>
      </c>
      <c r="D49" t="s">
        <v>318</v>
      </c>
      <c r="F49" t="s">
        <v>326</v>
      </c>
      <c r="G49">
        <f t="shared" si="3"/>
        <v>2358</v>
      </c>
      <c r="H49" t="str">
        <f t="shared" si="4"/>
        <v>`     Can get loan fast from GCash</v>
      </c>
      <c r="I49" t="s">
        <v>522</v>
      </c>
      <c r="J49" t="str">
        <f t="shared" si="5"/>
        <v>&lt;G1P&gt;`     Can get loan fast from GCash</v>
      </c>
    </row>
    <row r="50" spans="1:10" ht="15.75" x14ac:dyDescent="0.25">
      <c r="A50" s="16" t="s">
        <v>1151</v>
      </c>
      <c r="B50" s="150" t="s">
        <v>1097</v>
      </c>
      <c r="C50" t="s">
        <v>6</v>
      </c>
      <c r="D50" t="s">
        <v>323</v>
      </c>
      <c r="E50" t="s">
        <v>322</v>
      </c>
      <c r="F50" t="s">
        <v>327</v>
      </c>
      <c r="G50" t="str">
        <f t="shared" si="3"/>
        <v>2321+2352+2370+2375</v>
      </c>
      <c r="H50" t="str">
        <f t="shared" si="4"/>
        <v>`CAN LOAN IN TIMES OF EMERGENCY (NET)&lt;Q&gt;</v>
      </c>
      <c r="J50" t="str">
        <f t="shared" si="5"/>
        <v>`CAN LOAN IN TIMES OF EMERGENCY (NET)&lt;Q&gt;</v>
      </c>
    </row>
    <row r="51" spans="1:10" x14ac:dyDescent="0.25">
      <c r="A51" s="16">
        <v>2321</v>
      </c>
      <c r="B51" s="148" t="s">
        <v>1098</v>
      </c>
      <c r="C51" t="s">
        <v>16</v>
      </c>
      <c r="D51" t="s">
        <v>318</v>
      </c>
      <c r="F51" t="s">
        <v>326</v>
      </c>
      <c r="G51">
        <f t="shared" si="3"/>
        <v>2321</v>
      </c>
      <c r="H51" t="str">
        <f t="shared" si="4"/>
        <v>`     Can loan in times of emergency</v>
      </c>
      <c r="I51" t="s">
        <v>520</v>
      </c>
      <c r="J51" t="str">
        <f t="shared" si="5"/>
        <v>&lt;G2B&gt;&lt;G1P&gt;`     Can loan in times of emergency</v>
      </c>
    </row>
    <row r="52" spans="1:10" x14ac:dyDescent="0.25">
      <c r="A52" s="26">
        <v>2352</v>
      </c>
      <c r="B52" s="149" t="s">
        <v>1099</v>
      </c>
      <c r="C52" t="s">
        <v>16</v>
      </c>
      <c r="D52" t="s">
        <v>318</v>
      </c>
      <c r="F52" t="s">
        <v>326</v>
      </c>
      <c r="G52">
        <f t="shared" si="3"/>
        <v>2352</v>
      </c>
      <c r="H52" t="str">
        <f t="shared" si="4"/>
        <v>`     Can loan in times of need</v>
      </c>
      <c r="I52" t="s">
        <v>522</v>
      </c>
      <c r="J52" t="str">
        <f t="shared" si="5"/>
        <v>&lt;G1P&gt;`     Can loan in times of need</v>
      </c>
    </row>
    <row r="53" spans="1:10" x14ac:dyDescent="0.25">
      <c r="A53" s="26">
        <v>2370</v>
      </c>
      <c r="B53" s="149" t="s">
        <v>1100</v>
      </c>
      <c r="C53" t="s">
        <v>16</v>
      </c>
      <c r="D53" t="s">
        <v>318</v>
      </c>
      <c r="F53" t="s">
        <v>326</v>
      </c>
      <c r="G53">
        <f t="shared" si="3"/>
        <v>2370</v>
      </c>
      <c r="H53" t="str">
        <f t="shared" si="4"/>
        <v>`     Gcash can help in sudden expenses</v>
      </c>
      <c r="I53" t="s">
        <v>522</v>
      </c>
      <c r="J53" t="str">
        <f t="shared" si="5"/>
        <v>&lt;G1P&gt;`     Gcash can help in sudden expenses</v>
      </c>
    </row>
    <row r="54" spans="1:10" x14ac:dyDescent="0.25">
      <c r="A54" s="26">
        <v>2375</v>
      </c>
      <c r="B54" s="149" t="s">
        <v>1101</v>
      </c>
      <c r="C54" t="s">
        <v>16</v>
      </c>
      <c r="D54" t="s">
        <v>318</v>
      </c>
      <c r="F54" t="s">
        <v>326</v>
      </c>
      <c r="G54">
        <f t="shared" si="3"/>
        <v>2375</v>
      </c>
      <c r="H54" t="str">
        <f t="shared" si="4"/>
        <v>`     Can loan on GCash in case of emergency</v>
      </c>
      <c r="I54" t="s">
        <v>521</v>
      </c>
      <c r="J54" t="str">
        <f t="shared" si="5"/>
        <v>&lt;G2E&gt;&lt;G1P&gt;`     Can loan on GCash in case of emergency</v>
      </c>
    </row>
    <row r="55" spans="1:10" ht="15.75" x14ac:dyDescent="0.25">
      <c r="A55" s="16" t="s">
        <v>1501</v>
      </c>
      <c r="B55" s="150" t="s">
        <v>1026</v>
      </c>
      <c r="C55" t="s">
        <v>6</v>
      </c>
      <c r="D55" t="s">
        <v>323</v>
      </c>
      <c r="E55" t="s">
        <v>322</v>
      </c>
      <c r="F55" t="s">
        <v>327</v>
      </c>
      <c r="G55" t="str">
        <f t="shared" si="3"/>
        <v>2322+2344+2401</v>
      </c>
      <c r="H55" t="str">
        <f t="shared" si="4"/>
        <v>`ABOUT LOAN (NET)&lt;Q&gt;</v>
      </c>
      <c r="J55" t="str">
        <f t="shared" si="5"/>
        <v>`ABOUT LOAN (NET)&lt;Q&gt;</v>
      </c>
    </row>
    <row r="56" spans="1:10" x14ac:dyDescent="0.25">
      <c r="A56" s="16">
        <v>2322</v>
      </c>
      <c r="B56" s="148" t="s">
        <v>1027</v>
      </c>
      <c r="C56" t="s">
        <v>16</v>
      </c>
      <c r="D56" t="s">
        <v>318</v>
      </c>
      <c r="F56" t="s">
        <v>326</v>
      </c>
      <c r="G56">
        <f t="shared" si="3"/>
        <v>2322</v>
      </c>
      <c r="H56" t="str">
        <f t="shared" si="4"/>
        <v>`     About loan</v>
      </c>
      <c r="I56" t="s">
        <v>520</v>
      </c>
      <c r="J56" t="str">
        <f t="shared" si="5"/>
        <v>&lt;G2B&gt;&lt;G1P&gt;`     About loan</v>
      </c>
    </row>
    <row r="57" spans="1:10" x14ac:dyDescent="0.25">
      <c r="A57" s="26">
        <v>2344</v>
      </c>
      <c r="B57" s="149" t="s">
        <v>1102</v>
      </c>
      <c r="C57" t="s">
        <v>16</v>
      </c>
      <c r="D57" t="s">
        <v>318</v>
      </c>
      <c r="F57" t="s">
        <v>326</v>
      </c>
      <c r="G57">
        <f t="shared" si="3"/>
        <v>2344</v>
      </c>
      <c r="H57" t="str">
        <f t="shared" si="4"/>
        <v>`     Can loan</v>
      </c>
      <c r="I57" t="s">
        <v>522</v>
      </c>
      <c r="J57" t="str">
        <f t="shared" si="5"/>
        <v>&lt;G1P&gt;`     Can loan</v>
      </c>
    </row>
    <row r="58" spans="1:10" x14ac:dyDescent="0.25">
      <c r="A58" s="25">
        <v>2401</v>
      </c>
      <c r="B58" s="152" t="s">
        <v>1104</v>
      </c>
      <c r="C58" t="s">
        <v>16</v>
      </c>
      <c r="D58" t="s">
        <v>318</v>
      </c>
      <c r="F58" t="s">
        <v>326</v>
      </c>
      <c r="G58">
        <f t="shared" si="3"/>
        <v>2401</v>
      </c>
      <c r="H58" t="str">
        <f t="shared" si="4"/>
        <v>`     Can loan online</v>
      </c>
      <c r="I58" t="s">
        <v>521</v>
      </c>
      <c r="J58" t="str">
        <f t="shared" si="5"/>
        <v>&lt;G2E&gt;&lt;G1P&gt;`     Can loan online</v>
      </c>
    </row>
    <row r="59" spans="1:10" ht="15.75" x14ac:dyDescent="0.25">
      <c r="A59" s="16">
        <v>2408</v>
      </c>
      <c r="B59" s="150" t="s">
        <v>1105</v>
      </c>
      <c r="C59" t="s">
        <v>6</v>
      </c>
      <c r="D59" t="s">
        <v>323</v>
      </c>
      <c r="E59" t="s">
        <v>322</v>
      </c>
      <c r="F59" t="s">
        <v>327</v>
      </c>
      <c r="G59">
        <f t="shared" si="3"/>
        <v>2408</v>
      </c>
      <c r="H59" t="str">
        <f t="shared" si="4"/>
        <v>`MENTIONS OF GCREDIT (NET)&lt;Q&gt;</v>
      </c>
      <c r="J59" t="str">
        <f t="shared" si="5"/>
        <v>`MENTIONS OF GCREDIT (NET)&lt;Q&gt;</v>
      </c>
    </row>
    <row r="60" spans="1:10" x14ac:dyDescent="0.25">
      <c r="A60" s="25">
        <v>2408</v>
      </c>
      <c r="B60" s="152" t="s">
        <v>1106</v>
      </c>
      <c r="C60" t="s">
        <v>16</v>
      </c>
      <c r="D60" t="s">
        <v>318</v>
      </c>
      <c r="F60" t="s">
        <v>326</v>
      </c>
      <c r="G60">
        <f t="shared" si="3"/>
        <v>2408</v>
      </c>
      <c r="H60" t="str">
        <f t="shared" si="4"/>
        <v>`     Has Gcredit</v>
      </c>
      <c r="I60" t="s">
        <v>522</v>
      </c>
      <c r="J60" t="str">
        <f t="shared" si="5"/>
        <v>&lt;G1P&gt;`     Has Gcredit</v>
      </c>
    </row>
    <row r="61" spans="1:10" ht="15.75" x14ac:dyDescent="0.25">
      <c r="A61" s="16" t="s">
        <v>1502</v>
      </c>
      <c r="B61" s="150" t="s">
        <v>976</v>
      </c>
      <c r="C61" t="s">
        <v>6</v>
      </c>
      <c r="D61" t="s">
        <v>323</v>
      </c>
      <c r="E61" t="s">
        <v>322</v>
      </c>
      <c r="F61" t="s">
        <v>327</v>
      </c>
      <c r="G61" t="str">
        <f t="shared" si="3"/>
        <v>2323+2329+2350+2385</v>
      </c>
      <c r="H61" t="str">
        <f t="shared" si="4"/>
        <v>`MENTIONS OF GLOAN (NET)&lt;Q&gt;</v>
      </c>
      <c r="J61" t="str">
        <f t="shared" si="5"/>
        <v>`MENTIONS OF GLOAN (NET)&lt;Q&gt;</v>
      </c>
    </row>
    <row r="62" spans="1:10" x14ac:dyDescent="0.25">
      <c r="A62" s="16">
        <v>2323</v>
      </c>
      <c r="B62" s="148" t="s">
        <v>977</v>
      </c>
      <c r="C62" t="s">
        <v>16</v>
      </c>
      <c r="D62" t="s">
        <v>318</v>
      </c>
      <c r="F62" t="s">
        <v>326</v>
      </c>
      <c r="G62">
        <f t="shared" si="3"/>
        <v>2323</v>
      </c>
      <c r="H62" t="str">
        <f t="shared" si="4"/>
        <v>`     GLoan</v>
      </c>
      <c r="I62" t="s">
        <v>520</v>
      </c>
      <c r="J62" t="str">
        <f t="shared" si="5"/>
        <v>&lt;G2B&gt;&lt;G1P&gt;`     GLoan</v>
      </c>
    </row>
    <row r="63" spans="1:10" x14ac:dyDescent="0.25">
      <c r="A63" s="26">
        <v>2329</v>
      </c>
      <c r="B63" s="149" t="s">
        <v>980</v>
      </c>
      <c r="C63" t="s">
        <v>16</v>
      </c>
      <c r="D63" t="s">
        <v>318</v>
      </c>
      <c r="F63" t="s">
        <v>326</v>
      </c>
      <c r="G63">
        <f t="shared" si="3"/>
        <v>2329</v>
      </c>
      <c r="H63" t="str">
        <f t="shared" si="4"/>
        <v>`     GLoan on GCash</v>
      </c>
      <c r="I63" t="s">
        <v>522</v>
      </c>
      <c r="J63" t="str">
        <f t="shared" si="5"/>
        <v>&lt;G1P&gt;`     GLoan on GCash</v>
      </c>
    </row>
    <row r="64" spans="1:10" x14ac:dyDescent="0.25">
      <c r="A64" s="26">
        <v>2350</v>
      </c>
      <c r="B64" s="149" t="s">
        <v>984</v>
      </c>
      <c r="C64" t="s">
        <v>16</v>
      </c>
      <c r="D64" t="s">
        <v>318</v>
      </c>
      <c r="F64" t="s">
        <v>326</v>
      </c>
      <c r="G64">
        <f t="shared" si="3"/>
        <v>2350</v>
      </c>
      <c r="H64" t="str">
        <f t="shared" si="4"/>
        <v>`     Can loan on GCash using GLoan</v>
      </c>
      <c r="I64" t="s">
        <v>522</v>
      </c>
      <c r="J64" t="str">
        <f t="shared" si="5"/>
        <v>&lt;G1P&gt;`     Can loan on GCash using GLoan</v>
      </c>
    </row>
    <row r="65" spans="1:10" x14ac:dyDescent="0.25">
      <c r="A65" s="24">
        <v>2385</v>
      </c>
      <c r="B65" s="151" t="s">
        <v>1494</v>
      </c>
      <c r="C65" t="s">
        <v>16</v>
      </c>
      <c r="D65" t="s">
        <v>318</v>
      </c>
      <c r="F65" t="s">
        <v>326</v>
      </c>
      <c r="G65">
        <f t="shared" si="3"/>
        <v>2385</v>
      </c>
      <c r="H65" t="str">
        <f t="shared" si="4"/>
        <v>`     Kaya today with Gloan</v>
      </c>
      <c r="I65" t="s">
        <v>521</v>
      </c>
      <c r="J65" t="str">
        <f t="shared" si="5"/>
        <v>&lt;G2E&gt;&lt;G1P&gt;`     Kaya today with Gloan</v>
      </c>
    </row>
    <row r="66" spans="1:10" ht="15.75" x14ac:dyDescent="0.25">
      <c r="A66" s="16">
        <v>2398</v>
      </c>
      <c r="B66" s="150" t="s">
        <v>1373</v>
      </c>
      <c r="C66" t="s">
        <v>6</v>
      </c>
      <c r="D66" t="s">
        <v>323</v>
      </c>
      <c r="E66" t="s">
        <v>322</v>
      </c>
      <c r="F66" t="s">
        <v>327</v>
      </c>
      <c r="G66">
        <f t="shared" ref="G66:G97" si="6">IF(A66="","",A66)</f>
        <v>2398</v>
      </c>
      <c r="H66" t="str">
        <f t="shared" ref="H66:H97" si="7">_xlfn.CONCAT(D66,SUBSTITUTE(B66,"""","`"""),E66)</f>
        <v>`LOAN AMOUNT (NET)&lt;Q&gt;</v>
      </c>
      <c r="J66" t="str">
        <f t="shared" ref="J66:J97" si="8">_xlfn.CONCAT(I66,H66)</f>
        <v>`LOAN AMOUNT (NET)&lt;Q&gt;</v>
      </c>
    </row>
    <row r="67" spans="1:10" x14ac:dyDescent="0.25">
      <c r="A67" s="25">
        <v>2398</v>
      </c>
      <c r="B67" s="152" t="s">
        <v>1112</v>
      </c>
      <c r="C67" t="s">
        <v>16</v>
      </c>
      <c r="D67" t="s">
        <v>318</v>
      </c>
      <c r="F67" t="s">
        <v>326</v>
      </c>
      <c r="G67">
        <f t="shared" si="6"/>
        <v>2398</v>
      </c>
      <c r="H67" t="str">
        <f t="shared" si="7"/>
        <v>`     Can loan up to 50K on GLoan</v>
      </c>
      <c r="I67" t="s">
        <v>522</v>
      </c>
      <c r="J67" t="str">
        <f t="shared" si="8"/>
        <v>&lt;G1P&gt;`     Can loan up to 50K on GLoan</v>
      </c>
    </row>
    <row r="68" spans="1:10" ht="15.75" x14ac:dyDescent="0.25">
      <c r="A68" s="16" t="s">
        <v>1503</v>
      </c>
      <c r="B68" s="150" t="s">
        <v>1495</v>
      </c>
      <c r="C68" t="s">
        <v>6</v>
      </c>
      <c r="D68" t="s">
        <v>323</v>
      </c>
      <c r="E68" t="s">
        <v>322</v>
      </c>
      <c r="F68" t="s">
        <v>327</v>
      </c>
      <c r="G68" t="str">
        <f t="shared" si="6"/>
        <v>2386+2383</v>
      </c>
      <c r="H68" t="str">
        <f t="shared" si="7"/>
        <v>`CAN GET INSTANT LOAN IN GLOAN (NET)&lt;Q&gt;</v>
      </c>
      <c r="J68" t="str">
        <f t="shared" si="8"/>
        <v>`CAN GET INSTANT LOAN IN GLOAN (NET)&lt;Q&gt;</v>
      </c>
    </row>
    <row r="69" spans="1:10" x14ac:dyDescent="0.25">
      <c r="A69" s="24">
        <v>2386</v>
      </c>
      <c r="B69" s="151" t="s">
        <v>1110</v>
      </c>
      <c r="C69" t="s">
        <v>16</v>
      </c>
      <c r="D69" t="s">
        <v>318</v>
      </c>
      <c r="F69" t="s">
        <v>326</v>
      </c>
      <c r="G69">
        <f t="shared" si="6"/>
        <v>2386</v>
      </c>
      <c r="H69" t="str">
        <f t="shared" si="7"/>
        <v>`     Fast GLoan for sudden expenses</v>
      </c>
      <c r="I69" t="s">
        <v>520</v>
      </c>
      <c r="J69" t="str">
        <f t="shared" si="8"/>
        <v>&lt;G2B&gt;&lt;G1P&gt;`     Fast GLoan for sudden expenses</v>
      </c>
    </row>
    <row r="70" spans="1:10" x14ac:dyDescent="0.25">
      <c r="A70" s="24">
        <v>2383</v>
      </c>
      <c r="B70" s="151" t="s">
        <v>1108</v>
      </c>
      <c r="C70" t="s">
        <v>16</v>
      </c>
      <c r="D70" t="s">
        <v>318</v>
      </c>
      <c r="F70" t="s">
        <v>326</v>
      </c>
      <c r="G70">
        <f t="shared" si="6"/>
        <v>2383</v>
      </c>
      <c r="H70" t="str">
        <f t="shared" si="7"/>
        <v>`     GLoan instant loan</v>
      </c>
      <c r="I70" t="s">
        <v>521</v>
      </c>
      <c r="J70" t="str">
        <f t="shared" si="8"/>
        <v>&lt;G2E&gt;&lt;G1P&gt;`     GLoan instant loan</v>
      </c>
    </row>
    <row r="71" spans="1:10" ht="31.5" x14ac:dyDescent="0.25">
      <c r="A71" s="16" t="s">
        <v>1504</v>
      </c>
      <c r="B71" s="150" t="s">
        <v>1496</v>
      </c>
      <c r="C71" t="s">
        <v>6</v>
      </c>
      <c r="D71" t="s">
        <v>323</v>
      </c>
      <c r="E71" t="s">
        <v>322</v>
      </c>
      <c r="F71" t="s">
        <v>327</v>
      </c>
      <c r="G71" t="str">
        <f t="shared" si="6"/>
        <v>2382+2384+2387+2400</v>
      </c>
      <c r="H71" t="str">
        <f t="shared" si="7"/>
        <v>`CAN GET A LOAN FROM GLOAN TO PAY FOR EXPENSES OR AUGMENT INCOME (NET)&lt;Q&gt;</v>
      </c>
      <c r="J71" t="str">
        <f t="shared" si="8"/>
        <v>`CAN GET A LOAN FROM GLOAN TO PAY FOR EXPENSES OR AUGMENT INCOME (NET)&lt;Q&gt;</v>
      </c>
    </row>
    <row r="72" spans="1:10" x14ac:dyDescent="0.25">
      <c r="A72" s="24">
        <v>2382</v>
      </c>
      <c r="B72" s="151" t="s">
        <v>1107</v>
      </c>
      <c r="C72" t="s">
        <v>16</v>
      </c>
      <c r="D72" t="s">
        <v>318</v>
      </c>
      <c r="F72" t="s">
        <v>326</v>
      </c>
      <c r="G72">
        <f t="shared" si="6"/>
        <v>2382</v>
      </c>
      <c r="H72" t="str">
        <f t="shared" si="7"/>
        <v>`     GLoan if you have financial problems</v>
      </c>
      <c r="I72" t="s">
        <v>520</v>
      </c>
      <c r="J72" t="str">
        <f t="shared" si="8"/>
        <v>&lt;G2B&gt;&lt;G1P&gt;`     GLoan if you have financial problems</v>
      </c>
    </row>
    <row r="73" spans="1:10" x14ac:dyDescent="0.25">
      <c r="A73" s="24">
        <v>2384</v>
      </c>
      <c r="B73" s="151" t="s">
        <v>1109</v>
      </c>
      <c r="C73" t="s">
        <v>16</v>
      </c>
      <c r="D73" t="s">
        <v>318</v>
      </c>
      <c r="F73" t="s">
        <v>326</v>
      </c>
      <c r="G73">
        <f t="shared" si="6"/>
        <v>2384</v>
      </c>
      <c r="H73" t="str">
        <f t="shared" si="7"/>
        <v>`     When spending expenses at the same time you can GLoan</v>
      </c>
      <c r="I73" t="s">
        <v>522</v>
      </c>
      <c r="J73" t="str">
        <f t="shared" si="8"/>
        <v>&lt;G1P&gt;`     When spending expenses at the same time you can GLoan</v>
      </c>
    </row>
    <row r="74" spans="1:10" x14ac:dyDescent="0.25">
      <c r="A74" s="24">
        <v>2387</v>
      </c>
      <c r="B74" s="151" t="s">
        <v>1111</v>
      </c>
      <c r="C74" t="s">
        <v>16</v>
      </c>
      <c r="D74" t="s">
        <v>318</v>
      </c>
      <c r="F74" t="s">
        <v>326</v>
      </c>
      <c r="G74">
        <f t="shared" si="6"/>
        <v>2387</v>
      </c>
      <c r="H74" t="str">
        <f t="shared" si="7"/>
        <v>`     Need funds use GLoan</v>
      </c>
      <c r="I74" t="s">
        <v>522</v>
      </c>
      <c r="J74" t="str">
        <f t="shared" si="8"/>
        <v>&lt;G1P&gt;`     Need funds use GLoan</v>
      </c>
    </row>
    <row r="75" spans="1:10" x14ac:dyDescent="0.25">
      <c r="A75" s="25">
        <v>2400</v>
      </c>
      <c r="B75" s="152" t="s">
        <v>1143</v>
      </c>
      <c r="C75" t="s">
        <v>16</v>
      </c>
      <c r="D75" t="s">
        <v>318</v>
      </c>
      <c r="F75" t="s">
        <v>326</v>
      </c>
      <c r="G75">
        <f t="shared" si="6"/>
        <v>2400</v>
      </c>
      <c r="H75" t="str">
        <f t="shared" si="7"/>
        <v>`     Can loan from GCash for your home expenses</v>
      </c>
      <c r="I75" t="s">
        <v>521</v>
      </c>
      <c r="J75" t="str">
        <f t="shared" si="8"/>
        <v>&lt;G2E&gt;&lt;G1P&gt;`     Can loan from GCash for your home expenses</v>
      </c>
    </row>
    <row r="76" spans="1:10" ht="15.75" x14ac:dyDescent="0.25">
      <c r="A76" s="16" t="s">
        <v>1152</v>
      </c>
      <c r="B76" s="150" t="s">
        <v>1115</v>
      </c>
      <c r="C76" t="s">
        <v>6</v>
      </c>
      <c r="D76" t="s">
        <v>323</v>
      </c>
      <c r="E76" t="s">
        <v>322</v>
      </c>
      <c r="F76" t="s">
        <v>327</v>
      </c>
      <c r="G76" t="str">
        <f t="shared" si="6"/>
        <v>2324+2380</v>
      </c>
      <c r="H76" t="str">
        <f t="shared" si="7"/>
        <v>`CAN USE GCASH FOR PAYMENT (NET)&lt;Q&gt;</v>
      </c>
      <c r="J76" t="str">
        <f t="shared" si="8"/>
        <v>`CAN USE GCASH FOR PAYMENT (NET)&lt;Q&gt;</v>
      </c>
    </row>
    <row r="77" spans="1:10" x14ac:dyDescent="0.25">
      <c r="A77" s="16">
        <v>2324</v>
      </c>
      <c r="B77" s="148" t="s">
        <v>1116</v>
      </c>
      <c r="C77" t="s">
        <v>16</v>
      </c>
      <c r="D77" t="s">
        <v>318</v>
      </c>
      <c r="F77" t="s">
        <v>326</v>
      </c>
      <c r="G77">
        <f t="shared" si="6"/>
        <v>2324</v>
      </c>
      <c r="H77" t="str">
        <f t="shared" si="7"/>
        <v>`     Can use GCash for payment anywhere</v>
      </c>
      <c r="I77" t="s">
        <v>520</v>
      </c>
      <c r="J77" t="str">
        <f t="shared" si="8"/>
        <v>&lt;G2B&gt;&lt;G1P&gt;`     Can use GCash for payment anywhere</v>
      </c>
    </row>
    <row r="78" spans="1:10" x14ac:dyDescent="0.25">
      <c r="A78" s="24">
        <v>2380</v>
      </c>
      <c r="B78" s="151" t="s">
        <v>1117</v>
      </c>
      <c r="C78" t="s">
        <v>16</v>
      </c>
      <c r="D78" t="s">
        <v>318</v>
      </c>
      <c r="F78" t="s">
        <v>326</v>
      </c>
      <c r="G78">
        <f t="shared" si="6"/>
        <v>2380</v>
      </c>
      <c r="H78" t="str">
        <f t="shared" si="7"/>
        <v>`     Fast Payment</v>
      </c>
      <c r="I78" t="s">
        <v>521</v>
      </c>
      <c r="J78" t="str">
        <f t="shared" si="8"/>
        <v>&lt;G2E&gt;&lt;G1P&gt;`     Fast Payment</v>
      </c>
    </row>
    <row r="79" spans="1:10" ht="15.75" x14ac:dyDescent="0.25">
      <c r="A79" s="16" t="s">
        <v>1505</v>
      </c>
      <c r="B79" s="150" t="s">
        <v>1118</v>
      </c>
      <c r="C79" t="s">
        <v>6</v>
      </c>
      <c r="D79" t="s">
        <v>323</v>
      </c>
      <c r="E79" t="s">
        <v>322</v>
      </c>
      <c r="F79" t="s">
        <v>327</v>
      </c>
      <c r="G79" t="str">
        <f t="shared" si="6"/>
        <v>2325+2326+2388+2394+2391</v>
      </c>
      <c r="H79" t="str">
        <f t="shared" si="7"/>
        <v>`MAKES LIFE EASIER (NET)&lt;Q&gt;</v>
      </c>
      <c r="J79" t="str">
        <f t="shared" si="8"/>
        <v>`MAKES LIFE EASIER (NET)&lt;Q&gt;</v>
      </c>
    </row>
    <row r="80" spans="1:10" x14ac:dyDescent="0.25">
      <c r="A80" s="16">
        <v>2325</v>
      </c>
      <c r="B80" s="148" t="s">
        <v>1119</v>
      </c>
      <c r="C80" t="s">
        <v>16</v>
      </c>
      <c r="D80" t="s">
        <v>318</v>
      </c>
      <c r="F80" t="s">
        <v>326</v>
      </c>
      <c r="G80">
        <f t="shared" si="6"/>
        <v>2325</v>
      </c>
      <c r="H80" t="str">
        <f t="shared" si="7"/>
        <v>`     Like the ad because it makes life easier</v>
      </c>
      <c r="I80" t="s">
        <v>520</v>
      </c>
      <c r="J80" t="str">
        <f t="shared" si="8"/>
        <v>&lt;G2B&gt;&lt;G1P&gt;`     Like the ad because it makes life easier</v>
      </c>
    </row>
    <row r="81" spans="1:10" x14ac:dyDescent="0.25">
      <c r="A81" s="16">
        <v>2326</v>
      </c>
      <c r="B81" s="148" t="s">
        <v>1120</v>
      </c>
      <c r="C81" t="s">
        <v>16</v>
      </c>
      <c r="D81" t="s">
        <v>318</v>
      </c>
      <c r="F81" t="s">
        <v>326</v>
      </c>
      <c r="G81">
        <f t="shared" si="6"/>
        <v>2326</v>
      </c>
      <c r="H81" t="str">
        <f t="shared" si="7"/>
        <v>`     Use GCash to make everyday life easier</v>
      </c>
      <c r="I81" t="s">
        <v>522</v>
      </c>
      <c r="J81" t="str">
        <f t="shared" si="8"/>
        <v>&lt;G1P&gt;`     Use GCash to make everyday life easier</v>
      </c>
    </row>
    <row r="82" spans="1:10" x14ac:dyDescent="0.25">
      <c r="A82" s="24">
        <v>2388</v>
      </c>
      <c r="B82" s="151" t="s">
        <v>730</v>
      </c>
      <c r="C82" t="s">
        <v>16</v>
      </c>
      <c r="D82" t="s">
        <v>318</v>
      </c>
      <c r="F82" t="s">
        <v>326</v>
      </c>
      <c r="G82">
        <f t="shared" si="6"/>
        <v>2388</v>
      </c>
      <c r="H82" t="str">
        <f t="shared" si="7"/>
        <v>`     Convenient to use</v>
      </c>
      <c r="I82" t="s">
        <v>522</v>
      </c>
      <c r="J82" t="str">
        <f t="shared" si="8"/>
        <v>&lt;G1P&gt;`     Convenient to use</v>
      </c>
    </row>
    <row r="83" spans="1:10" x14ac:dyDescent="0.25">
      <c r="A83" s="24">
        <v>2394</v>
      </c>
      <c r="B83" s="151" t="s">
        <v>747</v>
      </c>
      <c r="C83" t="s">
        <v>16</v>
      </c>
      <c r="D83" t="s">
        <v>318</v>
      </c>
      <c r="F83" t="s">
        <v>326</v>
      </c>
      <c r="G83">
        <f t="shared" si="6"/>
        <v>2394</v>
      </c>
      <c r="H83" t="str">
        <f t="shared" si="7"/>
        <v>`     No hassle</v>
      </c>
      <c r="I83" t="s">
        <v>522</v>
      </c>
      <c r="J83" t="str">
        <f t="shared" si="8"/>
        <v>&lt;G1P&gt;`     No hassle</v>
      </c>
    </row>
    <row r="84" spans="1:10" x14ac:dyDescent="0.25">
      <c r="A84" s="24">
        <v>2391</v>
      </c>
      <c r="B84" s="151" t="s">
        <v>1016</v>
      </c>
      <c r="C84" t="s">
        <v>16</v>
      </c>
      <c r="D84" t="s">
        <v>318</v>
      </c>
      <c r="F84" t="s">
        <v>326</v>
      </c>
      <c r="G84">
        <f t="shared" si="6"/>
        <v>2391</v>
      </c>
      <c r="H84" t="str">
        <f t="shared" si="7"/>
        <v>`     Accessible</v>
      </c>
      <c r="I84" t="s">
        <v>521</v>
      </c>
      <c r="J84" t="str">
        <f t="shared" si="8"/>
        <v>&lt;G2E&gt;&lt;G1P&gt;`     Accessible</v>
      </c>
    </row>
    <row r="85" spans="1:10" ht="42.75" x14ac:dyDescent="0.25">
      <c r="A85" s="16" t="s">
        <v>1153</v>
      </c>
      <c r="B85" s="150" t="s">
        <v>1007</v>
      </c>
      <c r="C85" t="s">
        <v>6</v>
      </c>
      <c r="D85" t="s">
        <v>323</v>
      </c>
      <c r="E85" t="s">
        <v>322</v>
      </c>
      <c r="F85" t="s">
        <v>327</v>
      </c>
      <c r="G85" t="str">
        <f t="shared" si="6"/>
        <v>2345+2348+2359+2360+2361+2362+2363+2364+2371+2379+2381+2399</v>
      </c>
      <c r="H85" t="str">
        <f t="shared" si="7"/>
        <v>`EASE OF PROCESSING (NET)&lt;Q&gt;</v>
      </c>
      <c r="J85" t="str">
        <f t="shared" si="8"/>
        <v>`EASE OF PROCESSING (NET)&lt;Q&gt;</v>
      </c>
    </row>
    <row r="86" spans="1:10" x14ac:dyDescent="0.25">
      <c r="A86" s="26">
        <v>2345</v>
      </c>
      <c r="B86" s="149" t="s">
        <v>494</v>
      </c>
      <c r="C86" t="s">
        <v>16</v>
      </c>
      <c r="D86" t="s">
        <v>318</v>
      </c>
      <c r="F86" t="s">
        <v>326</v>
      </c>
      <c r="G86">
        <f t="shared" si="6"/>
        <v>2345</v>
      </c>
      <c r="H86" t="str">
        <f t="shared" si="7"/>
        <v>`     Easy to use</v>
      </c>
      <c r="I86" t="s">
        <v>520</v>
      </c>
      <c r="J86" t="str">
        <f t="shared" si="8"/>
        <v>&lt;G2B&gt;&lt;G1P&gt;`     Easy to use</v>
      </c>
    </row>
    <row r="87" spans="1:10" x14ac:dyDescent="0.25">
      <c r="A87" s="26">
        <v>2348</v>
      </c>
      <c r="B87" s="149" t="s">
        <v>1121</v>
      </c>
      <c r="C87" t="s">
        <v>16</v>
      </c>
      <c r="D87" t="s">
        <v>318</v>
      </c>
      <c r="F87" t="s">
        <v>326</v>
      </c>
      <c r="G87">
        <f t="shared" si="6"/>
        <v>2348</v>
      </c>
      <c r="H87" t="str">
        <f t="shared" si="7"/>
        <v>`     GCash makes transactions easier</v>
      </c>
      <c r="I87" t="s">
        <v>522</v>
      </c>
      <c r="J87" t="str">
        <f t="shared" si="8"/>
        <v>&lt;G1P&gt;`     GCash makes transactions easier</v>
      </c>
    </row>
    <row r="88" spans="1:10" x14ac:dyDescent="0.25">
      <c r="A88" s="26">
        <v>2359</v>
      </c>
      <c r="B88" s="149" t="s">
        <v>1122</v>
      </c>
      <c r="C88" t="s">
        <v>16</v>
      </c>
      <c r="D88" t="s">
        <v>318</v>
      </c>
      <c r="F88" t="s">
        <v>326</v>
      </c>
      <c r="G88">
        <f t="shared" si="6"/>
        <v>2359</v>
      </c>
      <c r="H88" t="str">
        <f t="shared" si="7"/>
        <v>`     Easy to loan on GCash</v>
      </c>
      <c r="I88" t="s">
        <v>522</v>
      </c>
      <c r="J88" t="str">
        <f t="shared" si="8"/>
        <v>&lt;G1P&gt;`     Easy to loan on GCash</v>
      </c>
    </row>
    <row r="89" spans="1:10" x14ac:dyDescent="0.25">
      <c r="A89" s="26">
        <v>2360</v>
      </c>
      <c r="B89" s="149" t="s">
        <v>1123</v>
      </c>
      <c r="C89" t="s">
        <v>16</v>
      </c>
      <c r="D89" t="s">
        <v>318</v>
      </c>
      <c r="F89" t="s">
        <v>326</v>
      </c>
      <c r="G89">
        <f t="shared" si="6"/>
        <v>2360</v>
      </c>
      <c r="H89" t="str">
        <f t="shared" si="7"/>
        <v>`     Easy to use in anu occasion</v>
      </c>
      <c r="I89" t="s">
        <v>522</v>
      </c>
      <c r="J89" t="str">
        <f t="shared" si="8"/>
        <v>&lt;G1P&gt;`     Easy to use in anu occasion</v>
      </c>
    </row>
    <row r="90" spans="1:10" x14ac:dyDescent="0.25">
      <c r="A90" s="26">
        <v>2361</v>
      </c>
      <c r="B90" s="149" t="s">
        <v>1124</v>
      </c>
      <c r="C90" t="s">
        <v>16</v>
      </c>
      <c r="D90" t="s">
        <v>318</v>
      </c>
      <c r="F90" t="s">
        <v>326</v>
      </c>
      <c r="G90">
        <f t="shared" si="6"/>
        <v>2361</v>
      </c>
      <c r="H90" t="str">
        <f t="shared" si="7"/>
        <v>`     Easy to loan</v>
      </c>
      <c r="I90" t="s">
        <v>522</v>
      </c>
      <c r="J90" t="str">
        <f t="shared" si="8"/>
        <v>&lt;G1P&gt;`     Easy to loan</v>
      </c>
    </row>
    <row r="91" spans="1:10" x14ac:dyDescent="0.25">
      <c r="A91" s="26">
        <v>2362</v>
      </c>
      <c r="B91" s="149" t="s">
        <v>1125</v>
      </c>
      <c r="C91" t="s">
        <v>16</v>
      </c>
      <c r="D91" t="s">
        <v>318</v>
      </c>
      <c r="F91" t="s">
        <v>326</v>
      </c>
      <c r="G91">
        <f t="shared" si="6"/>
        <v>2362</v>
      </c>
      <c r="H91" t="str">
        <f t="shared" si="7"/>
        <v>`     Easy way to loan</v>
      </c>
      <c r="I91" t="s">
        <v>522</v>
      </c>
      <c r="J91" t="str">
        <f t="shared" si="8"/>
        <v>&lt;G1P&gt;`     Easy way to loan</v>
      </c>
    </row>
    <row r="92" spans="1:10" x14ac:dyDescent="0.25">
      <c r="A92" s="26">
        <v>2363</v>
      </c>
      <c r="B92" s="149" t="s">
        <v>1126</v>
      </c>
      <c r="C92" t="s">
        <v>16</v>
      </c>
      <c r="D92" t="s">
        <v>318</v>
      </c>
      <c r="F92" t="s">
        <v>326</v>
      </c>
      <c r="G92">
        <f t="shared" si="6"/>
        <v>2363</v>
      </c>
      <c r="H92" t="str">
        <f t="shared" si="7"/>
        <v>`     Easy way in case of emergency</v>
      </c>
      <c r="I92" t="s">
        <v>522</v>
      </c>
      <c r="J92" t="str">
        <f t="shared" si="8"/>
        <v>&lt;G1P&gt;`     Easy way in case of emergency</v>
      </c>
    </row>
    <row r="93" spans="1:10" x14ac:dyDescent="0.25">
      <c r="A93" s="26">
        <v>2364</v>
      </c>
      <c r="B93" s="149" t="s">
        <v>1008</v>
      </c>
      <c r="C93" t="s">
        <v>16</v>
      </c>
      <c r="D93" t="s">
        <v>318</v>
      </c>
      <c r="F93" t="s">
        <v>326</v>
      </c>
      <c r="G93">
        <f t="shared" si="6"/>
        <v>2364</v>
      </c>
      <c r="H93" t="str">
        <f t="shared" si="7"/>
        <v>`     Easy to process</v>
      </c>
      <c r="I93" t="s">
        <v>522</v>
      </c>
      <c r="J93" t="str">
        <f t="shared" si="8"/>
        <v>&lt;G1P&gt;`     Easy to process</v>
      </c>
    </row>
    <row r="94" spans="1:10" x14ac:dyDescent="0.25">
      <c r="A94" s="26">
        <v>2371</v>
      </c>
      <c r="B94" s="149" t="s">
        <v>1127</v>
      </c>
      <c r="C94" t="s">
        <v>16</v>
      </c>
      <c r="D94" t="s">
        <v>318</v>
      </c>
      <c r="F94" t="s">
        <v>326</v>
      </c>
      <c r="G94">
        <f t="shared" si="6"/>
        <v>2371</v>
      </c>
      <c r="H94" t="str">
        <f t="shared" si="7"/>
        <v>`     Easy to pay using GCash</v>
      </c>
      <c r="I94" t="s">
        <v>522</v>
      </c>
      <c r="J94" t="str">
        <f t="shared" si="8"/>
        <v>&lt;G1P&gt;`     Easy to pay using GCash</v>
      </c>
    </row>
    <row r="95" spans="1:10" x14ac:dyDescent="0.25">
      <c r="A95" s="24">
        <v>2379</v>
      </c>
      <c r="B95" s="151" t="s">
        <v>412</v>
      </c>
      <c r="C95" t="s">
        <v>16</v>
      </c>
      <c r="D95" t="s">
        <v>318</v>
      </c>
      <c r="F95" t="s">
        <v>326</v>
      </c>
      <c r="G95">
        <f t="shared" si="6"/>
        <v>2379</v>
      </c>
      <c r="H95" t="str">
        <f t="shared" si="7"/>
        <v>`     Fast transaction</v>
      </c>
      <c r="I95" t="s">
        <v>522</v>
      </c>
      <c r="J95" t="str">
        <f t="shared" si="8"/>
        <v>&lt;G1P&gt;`     Fast transaction</v>
      </c>
    </row>
    <row r="96" spans="1:10" x14ac:dyDescent="0.25">
      <c r="A96" s="24">
        <v>2381</v>
      </c>
      <c r="B96" s="151" t="s">
        <v>1128</v>
      </c>
      <c r="C96" t="s">
        <v>16</v>
      </c>
      <c r="D96" t="s">
        <v>318</v>
      </c>
      <c r="F96" t="s">
        <v>326</v>
      </c>
      <c r="G96">
        <f t="shared" si="6"/>
        <v>2381</v>
      </c>
      <c r="H96" t="str">
        <f t="shared" si="7"/>
        <v>`     Easy to transfer money</v>
      </c>
      <c r="I96" t="s">
        <v>522</v>
      </c>
      <c r="J96" t="str">
        <f t="shared" si="8"/>
        <v>&lt;G1P&gt;`     Easy to transfer money</v>
      </c>
    </row>
    <row r="97" spans="1:10" x14ac:dyDescent="0.25">
      <c r="A97" s="25">
        <v>2399</v>
      </c>
      <c r="B97" s="152" t="s">
        <v>1129</v>
      </c>
      <c r="C97" t="s">
        <v>16</v>
      </c>
      <c r="D97" t="s">
        <v>318</v>
      </c>
      <c r="F97" t="s">
        <v>326</v>
      </c>
      <c r="G97">
        <f t="shared" si="6"/>
        <v>2399</v>
      </c>
      <c r="H97" t="str">
        <f t="shared" si="7"/>
        <v>`     Easy to cash-out</v>
      </c>
      <c r="I97" t="s">
        <v>521</v>
      </c>
      <c r="J97" t="str">
        <f t="shared" si="8"/>
        <v>&lt;G2E&gt;&lt;G1P&gt;`     Easy to cash-out</v>
      </c>
    </row>
    <row r="98" spans="1:10" ht="15.75" x14ac:dyDescent="0.25">
      <c r="A98" s="16">
        <v>2390</v>
      </c>
      <c r="B98" s="150" t="s">
        <v>1002</v>
      </c>
      <c r="C98" t="s">
        <v>6</v>
      </c>
      <c r="D98" t="s">
        <v>323</v>
      </c>
      <c r="E98" t="s">
        <v>322</v>
      </c>
      <c r="F98" t="s">
        <v>327</v>
      </c>
      <c r="G98">
        <f t="shared" ref="G98:G124" si="9">IF(A98="","",A98)</f>
        <v>2390</v>
      </c>
      <c r="H98" t="str">
        <f t="shared" ref="H98:H124" si="10">_xlfn.CONCAT(D98,SUBSTITUTE(B98,"""","`"""),E98)</f>
        <v>`LOW INTEREST (NET)&lt;Q&gt;</v>
      </c>
      <c r="J98" t="str">
        <f t="shared" ref="J98:J129" si="11">_xlfn.CONCAT(I98,H98)</f>
        <v>`LOW INTEREST (NET)&lt;Q&gt;</v>
      </c>
    </row>
    <row r="99" spans="1:10" x14ac:dyDescent="0.25">
      <c r="A99" s="24">
        <v>2390</v>
      </c>
      <c r="B99" s="151" t="s">
        <v>1138</v>
      </c>
      <c r="C99" t="s">
        <v>16</v>
      </c>
      <c r="D99" t="s">
        <v>318</v>
      </c>
      <c r="F99" t="s">
        <v>326</v>
      </c>
      <c r="G99">
        <f t="shared" si="9"/>
        <v>2390</v>
      </c>
      <c r="H99" t="str">
        <f t="shared" si="10"/>
        <v>`     Low interest</v>
      </c>
      <c r="I99" t="s">
        <v>522</v>
      </c>
      <c r="J99" t="str">
        <f t="shared" si="11"/>
        <v>&lt;G1P&gt;`     Low interest</v>
      </c>
    </row>
    <row r="100" spans="1:10" ht="15.75" x14ac:dyDescent="0.25">
      <c r="A100" s="16" t="s">
        <v>1507</v>
      </c>
      <c r="B100" s="150" t="s">
        <v>415</v>
      </c>
      <c r="C100" t="s">
        <v>6</v>
      </c>
      <c r="D100" t="s">
        <v>323</v>
      </c>
      <c r="E100" t="s">
        <v>322</v>
      </c>
      <c r="F100" t="s">
        <v>327</v>
      </c>
      <c r="G100" t="str">
        <f t="shared" si="9"/>
        <v>2396+2397</v>
      </c>
      <c r="H100" t="str">
        <f t="shared" si="10"/>
        <v>`SAFETY AND SECURITY (NET)&lt;Q&gt;</v>
      </c>
      <c r="I100" t="s">
        <v>519</v>
      </c>
      <c r="J100" t="str">
        <f t="shared" si="11"/>
        <v>&lt;G1E&gt;`SAFETY AND SECURITY (NET)&lt;Q&gt;</v>
      </c>
    </row>
    <row r="101" spans="1:10" x14ac:dyDescent="0.25">
      <c r="A101" s="24">
        <v>2396</v>
      </c>
      <c r="B101" s="151" t="s">
        <v>1141</v>
      </c>
      <c r="C101" t="s">
        <v>16</v>
      </c>
      <c r="D101" t="s">
        <v>318</v>
      </c>
      <c r="F101" t="s">
        <v>326</v>
      </c>
      <c r="G101">
        <f t="shared" si="9"/>
        <v>2396</v>
      </c>
      <c r="H101" t="str">
        <f t="shared" si="10"/>
        <v>`     In GCash you are safe</v>
      </c>
      <c r="I101" t="s">
        <v>520</v>
      </c>
      <c r="J101" t="str">
        <f t="shared" si="11"/>
        <v>&lt;G2B&gt;&lt;G1P&gt;`     In GCash you are safe</v>
      </c>
    </row>
    <row r="102" spans="1:10" x14ac:dyDescent="0.25">
      <c r="A102" s="24">
        <v>2397</v>
      </c>
      <c r="B102" s="151" t="s">
        <v>1142</v>
      </c>
      <c r="C102" t="s">
        <v>16</v>
      </c>
      <c r="D102" t="s">
        <v>318</v>
      </c>
      <c r="F102" t="s">
        <v>326</v>
      </c>
      <c r="G102">
        <f t="shared" si="9"/>
        <v>2397</v>
      </c>
      <c r="H102" t="str">
        <f t="shared" si="10"/>
        <v>`     Secured celebrating important events</v>
      </c>
      <c r="I102" t="s">
        <v>521</v>
      </c>
      <c r="J102" t="str">
        <f t="shared" si="11"/>
        <v>&lt;G2E&gt;&lt;G1P&gt;`     Secured celebrating important events</v>
      </c>
    </row>
    <row r="103" spans="1:10" ht="42.75" x14ac:dyDescent="0.25">
      <c r="A103" s="16" t="s">
        <v>1506</v>
      </c>
      <c r="B103" s="150" t="s">
        <v>332</v>
      </c>
      <c r="C103" t="s">
        <v>6</v>
      </c>
      <c r="D103" t="s">
        <v>323</v>
      </c>
      <c r="E103" t="s">
        <v>322</v>
      </c>
      <c r="F103" t="s">
        <v>327</v>
      </c>
      <c r="G103" t="str">
        <f t="shared" si="9"/>
        <v>2327+2328+2340+2341+2365+2366+2368+2373+2374+2377+2403+2404+2405+2395</v>
      </c>
      <c r="H103" t="str">
        <f t="shared" si="10"/>
        <v>`OTHERS (NET)&lt;Q&gt;</v>
      </c>
      <c r="J103" t="str">
        <f t="shared" si="11"/>
        <v>`OTHERS (NET)&lt;Q&gt;</v>
      </c>
    </row>
    <row r="104" spans="1:10" x14ac:dyDescent="0.25">
      <c r="A104" s="16">
        <v>2327</v>
      </c>
      <c r="B104" s="148" t="s">
        <v>776</v>
      </c>
      <c r="C104" t="s">
        <v>16</v>
      </c>
      <c r="D104" t="s">
        <v>318</v>
      </c>
      <c r="F104" t="s">
        <v>326</v>
      </c>
      <c r="G104">
        <f t="shared" si="9"/>
        <v>2327</v>
      </c>
      <c r="H104" t="str">
        <f t="shared" si="10"/>
        <v>`     Cannot understand the ad</v>
      </c>
      <c r="I104" t="s">
        <v>520</v>
      </c>
      <c r="J104" t="str">
        <f t="shared" si="11"/>
        <v>&lt;G2B&gt;&lt;G1P&gt;`     Cannot understand the ad</v>
      </c>
    </row>
    <row r="105" spans="1:10" x14ac:dyDescent="0.25">
      <c r="A105" s="16">
        <v>2328</v>
      </c>
      <c r="B105" s="148" t="s">
        <v>1130</v>
      </c>
      <c r="C105" t="s">
        <v>16</v>
      </c>
      <c r="D105" t="s">
        <v>318</v>
      </c>
      <c r="F105" t="s">
        <v>326</v>
      </c>
      <c r="G105">
        <f t="shared" si="9"/>
        <v>2328</v>
      </c>
      <c r="H105" t="str">
        <f t="shared" si="10"/>
        <v>`     Save money</v>
      </c>
      <c r="I105" t="s">
        <v>522</v>
      </c>
      <c r="J105" t="str">
        <f t="shared" si="11"/>
        <v>&lt;G1P&gt;`     Save money</v>
      </c>
    </row>
    <row r="106" spans="1:10" x14ac:dyDescent="0.25">
      <c r="A106" s="26">
        <v>2340</v>
      </c>
      <c r="B106" s="149" t="s">
        <v>1049</v>
      </c>
      <c r="C106" t="s">
        <v>16</v>
      </c>
      <c r="D106" t="s">
        <v>318</v>
      </c>
      <c r="F106" t="s">
        <v>326</v>
      </c>
      <c r="G106">
        <f t="shared" si="9"/>
        <v>2340</v>
      </c>
      <c r="H106" t="str">
        <f t="shared" si="10"/>
        <v>`     It's nice</v>
      </c>
      <c r="I106" t="s">
        <v>522</v>
      </c>
      <c r="J106" t="str">
        <f t="shared" si="11"/>
        <v>&lt;G1P&gt;`     It's nice</v>
      </c>
    </row>
    <row r="107" spans="1:10" x14ac:dyDescent="0.25">
      <c r="A107" s="26">
        <v>2341</v>
      </c>
      <c r="B107" s="149" t="s">
        <v>1131</v>
      </c>
      <c r="C107" t="s">
        <v>16</v>
      </c>
      <c r="D107" t="s">
        <v>318</v>
      </c>
      <c r="F107" t="s">
        <v>326</v>
      </c>
      <c r="G107">
        <f t="shared" si="9"/>
        <v>2341</v>
      </c>
      <c r="H107" t="str">
        <f t="shared" si="10"/>
        <v>`     The advertisement is not so catchy</v>
      </c>
      <c r="I107" t="s">
        <v>522</v>
      </c>
      <c r="J107" t="str">
        <f t="shared" si="11"/>
        <v>&lt;G1P&gt;`     The advertisement is not so catchy</v>
      </c>
    </row>
    <row r="108" spans="1:10" x14ac:dyDescent="0.25">
      <c r="A108" s="26">
        <v>2365</v>
      </c>
      <c r="B108" s="149" t="s">
        <v>1132</v>
      </c>
      <c r="C108" t="s">
        <v>16</v>
      </c>
      <c r="D108" t="s">
        <v>318</v>
      </c>
      <c r="F108" t="s">
        <v>326</v>
      </c>
      <c r="G108">
        <f t="shared" si="9"/>
        <v>2365</v>
      </c>
      <c r="H108" t="str">
        <f t="shared" si="10"/>
        <v>`     There is GCash</v>
      </c>
      <c r="I108" t="s">
        <v>522</v>
      </c>
      <c r="J108" t="str">
        <f t="shared" si="11"/>
        <v>&lt;G1P&gt;`     There is GCash</v>
      </c>
    </row>
    <row r="109" spans="1:10" x14ac:dyDescent="0.25">
      <c r="A109" s="26">
        <v>2366</v>
      </c>
      <c r="B109" s="149" t="s">
        <v>1133</v>
      </c>
      <c r="C109" t="s">
        <v>16</v>
      </c>
      <c r="D109" t="s">
        <v>318</v>
      </c>
      <c r="F109" t="s">
        <v>326</v>
      </c>
      <c r="G109">
        <f t="shared" si="9"/>
        <v>2366</v>
      </c>
      <c r="H109" t="str">
        <f t="shared" si="10"/>
        <v>`     My child can use it</v>
      </c>
      <c r="I109" t="s">
        <v>522</v>
      </c>
      <c r="J109" t="str">
        <f t="shared" si="11"/>
        <v>&lt;G1P&gt;`     My child can use it</v>
      </c>
    </row>
    <row r="110" spans="1:10" x14ac:dyDescent="0.25">
      <c r="A110" s="26">
        <v>2368</v>
      </c>
      <c r="B110" s="149" t="s">
        <v>1134</v>
      </c>
      <c r="C110" t="s">
        <v>16</v>
      </c>
      <c r="D110" t="s">
        <v>318</v>
      </c>
      <c r="F110" t="s">
        <v>326</v>
      </c>
      <c r="G110">
        <f t="shared" si="9"/>
        <v>2368</v>
      </c>
      <c r="H110" t="str">
        <f t="shared" si="10"/>
        <v>`     The video and the pictures are different</v>
      </c>
      <c r="I110" t="s">
        <v>522</v>
      </c>
      <c r="J110" t="str">
        <f t="shared" si="11"/>
        <v>&lt;G1P&gt;`     The video and the pictures are different</v>
      </c>
    </row>
    <row r="111" spans="1:10" x14ac:dyDescent="0.25">
      <c r="A111" s="26">
        <v>2373</v>
      </c>
      <c r="B111" s="149" t="s">
        <v>1135</v>
      </c>
      <c r="C111" t="s">
        <v>16</v>
      </c>
      <c r="D111" t="s">
        <v>318</v>
      </c>
      <c r="F111" t="s">
        <v>326</v>
      </c>
      <c r="G111">
        <f t="shared" si="9"/>
        <v>2373</v>
      </c>
      <c r="H111" t="str">
        <f t="shared" si="10"/>
        <v>`     With GCash protection</v>
      </c>
      <c r="I111" t="s">
        <v>522</v>
      </c>
      <c r="J111" t="str">
        <f t="shared" si="11"/>
        <v>&lt;G1P&gt;`     With GCash protection</v>
      </c>
    </row>
    <row r="112" spans="1:10" x14ac:dyDescent="0.25">
      <c r="A112" s="26">
        <v>2374</v>
      </c>
      <c r="B112" s="149" t="s">
        <v>1136</v>
      </c>
      <c r="C112" t="s">
        <v>16</v>
      </c>
      <c r="D112" t="s">
        <v>318</v>
      </c>
      <c r="F112" t="s">
        <v>326</v>
      </c>
      <c r="G112">
        <f t="shared" si="9"/>
        <v>2374</v>
      </c>
      <c r="H112" t="str">
        <f t="shared" si="10"/>
        <v>`     For the future of the children</v>
      </c>
      <c r="I112" t="s">
        <v>522</v>
      </c>
      <c r="J112" t="str">
        <f t="shared" si="11"/>
        <v>&lt;G1P&gt;`     For the future of the children</v>
      </c>
    </row>
    <row r="113" spans="1:10" x14ac:dyDescent="0.25">
      <c r="A113" s="26">
        <v>2377</v>
      </c>
      <c r="B113" s="149" t="s">
        <v>1137</v>
      </c>
      <c r="C113" t="s">
        <v>16</v>
      </c>
      <c r="D113" t="s">
        <v>318</v>
      </c>
      <c r="F113" t="s">
        <v>326</v>
      </c>
      <c r="G113">
        <f t="shared" si="9"/>
        <v>2377</v>
      </c>
      <c r="H113" t="str">
        <f t="shared" si="10"/>
        <v>`     Can be use anywhere</v>
      </c>
      <c r="I113" t="s">
        <v>522</v>
      </c>
      <c r="J113" t="str">
        <f t="shared" si="11"/>
        <v>&lt;G1P&gt;`     Can be use anywhere</v>
      </c>
    </row>
    <row r="114" spans="1:10" x14ac:dyDescent="0.25">
      <c r="A114" s="25">
        <v>2403</v>
      </c>
      <c r="B114" s="152" t="s">
        <v>1144</v>
      </c>
      <c r="C114" t="s">
        <v>16</v>
      </c>
      <c r="D114" t="s">
        <v>318</v>
      </c>
      <c r="F114" t="s">
        <v>326</v>
      </c>
      <c r="G114">
        <f t="shared" si="9"/>
        <v>2403</v>
      </c>
      <c r="H114" t="str">
        <f t="shared" si="10"/>
        <v>`     Interesting</v>
      </c>
      <c r="I114" t="s">
        <v>522</v>
      </c>
      <c r="J114" t="str">
        <f t="shared" si="11"/>
        <v>&lt;G1P&gt;`     Interesting</v>
      </c>
    </row>
    <row r="115" spans="1:10" x14ac:dyDescent="0.25">
      <c r="A115" s="25">
        <v>2404</v>
      </c>
      <c r="B115" s="152" t="s">
        <v>1145</v>
      </c>
      <c r="C115" t="s">
        <v>16</v>
      </c>
      <c r="D115" t="s">
        <v>318</v>
      </c>
      <c r="F115" t="s">
        <v>326</v>
      </c>
      <c r="G115">
        <f t="shared" si="9"/>
        <v>2404</v>
      </c>
      <c r="H115" t="str">
        <f t="shared" si="10"/>
        <v>`     Good inspiration to parents and children</v>
      </c>
      <c r="I115" t="s">
        <v>522</v>
      </c>
      <c r="J115" t="str">
        <f t="shared" si="11"/>
        <v>&lt;G1P&gt;`     Good inspiration to parents and children</v>
      </c>
    </row>
    <row r="116" spans="1:10" x14ac:dyDescent="0.25">
      <c r="A116" s="25">
        <v>2405</v>
      </c>
      <c r="B116" s="152" t="s">
        <v>1146</v>
      </c>
      <c r="C116" t="s">
        <v>16</v>
      </c>
      <c r="D116" t="s">
        <v>318</v>
      </c>
      <c r="F116" t="s">
        <v>326</v>
      </c>
      <c r="G116">
        <f t="shared" si="9"/>
        <v>2405</v>
      </c>
      <c r="H116" t="str">
        <f t="shared" si="10"/>
        <v>`     Will help business</v>
      </c>
      <c r="I116" t="s">
        <v>522</v>
      </c>
      <c r="J116" t="str">
        <f t="shared" si="11"/>
        <v>&lt;G1P&gt;`     Will help business</v>
      </c>
    </row>
    <row r="117" spans="1:10" x14ac:dyDescent="0.25">
      <c r="A117" s="24">
        <v>2395</v>
      </c>
      <c r="B117" s="151" t="s">
        <v>1140</v>
      </c>
      <c r="C117" t="s">
        <v>16</v>
      </c>
      <c r="D117" t="s">
        <v>318</v>
      </c>
      <c r="F117" t="s">
        <v>326</v>
      </c>
      <c r="G117">
        <f t="shared" si="9"/>
        <v>2395</v>
      </c>
      <c r="H117" t="str">
        <f t="shared" si="10"/>
        <v>`     Endorse at GCash</v>
      </c>
      <c r="I117" t="s">
        <v>521</v>
      </c>
      <c r="J117" t="str">
        <f t="shared" si="11"/>
        <v>&lt;G2E&gt;&lt;G1P&gt;`     Endorse at GCash</v>
      </c>
    </row>
    <row r="118" spans="1:10" ht="15.75" x14ac:dyDescent="0.25">
      <c r="A118" s="16" t="s">
        <v>1154</v>
      </c>
      <c r="B118" s="150" t="s">
        <v>331</v>
      </c>
      <c r="C118" t="s">
        <v>6</v>
      </c>
      <c r="D118" t="s">
        <v>323</v>
      </c>
      <c r="E118" t="s">
        <v>322</v>
      </c>
      <c r="F118" t="s">
        <v>327</v>
      </c>
      <c r="G118" t="str">
        <f t="shared" si="9"/>
        <v>2342+2343</v>
      </c>
      <c r="H118" t="str">
        <f t="shared" si="10"/>
        <v>`VAGUE (NET)&lt;Q&gt;</v>
      </c>
      <c r="J118" t="str">
        <f t="shared" si="11"/>
        <v>`VAGUE (NET)&lt;Q&gt;</v>
      </c>
    </row>
    <row r="119" spans="1:10" x14ac:dyDescent="0.25">
      <c r="A119" s="26">
        <v>2342</v>
      </c>
      <c r="B119" s="149" t="s">
        <v>784</v>
      </c>
      <c r="C119" t="s">
        <v>16</v>
      </c>
      <c r="D119" t="s">
        <v>318</v>
      </c>
      <c r="F119" t="s">
        <v>326</v>
      </c>
      <c r="G119">
        <f t="shared" si="9"/>
        <v>2342</v>
      </c>
      <c r="H119" t="str">
        <f t="shared" si="10"/>
        <v>`     It's okay</v>
      </c>
      <c r="I119" t="s">
        <v>520</v>
      </c>
      <c r="J119" t="str">
        <f t="shared" si="11"/>
        <v>&lt;G2B&gt;&lt;G1P&gt;`     It's okay</v>
      </c>
    </row>
    <row r="120" spans="1:10" x14ac:dyDescent="0.25">
      <c r="A120" s="26">
        <v>2343</v>
      </c>
      <c r="B120" s="149" t="s">
        <v>1147</v>
      </c>
      <c r="C120" t="s">
        <v>16</v>
      </c>
      <c r="D120" t="s">
        <v>318</v>
      </c>
      <c r="F120" t="s">
        <v>326</v>
      </c>
      <c r="G120">
        <f t="shared" si="9"/>
        <v>2343</v>
      </c>
      <c r="H120" t="str">
        <f t="shared" si="10"/>
        <v>`     Can be trusted on paying bills</v>
      </c>
      <c r="I120" t="s">
        <v>521</v>
      </c>
      <c r="J120" t="str">
        <f t="shared" si="11"/>
        <v>&lt;G2E&gt;&lt;G1P&gt;`     Can be trusted on paying bills</v>
      </c>
    </row>
    <row r="121" spans="1:10" x14ac:dyDescent="0.25">
      <c r="A121" s="26">
        <v>9994</v>
      </c>
      <c r="B121" s="149" t="s">
        <v>796</v>
      </c>
      <c r="G121">
        <f t="shared" si="9"/>
        <v>9994</v>
      </c>
      <c r="H121" t="str">
        <f t="shared" si="10"/>
        <v>No comment</v>
      </c>
      <c r="J121" t="str">
        <f t="shared" si="11"/>
        <v>No comment</v>
      </c>
    </row>
    <row r="122" spans="1:10" x14ac:dyDescent="0.25">
      <c r="A122" s="26">
        <v>9997</v>
      </c>
      <c r="B122" s="149" t="s">
        <v>336</v>
      </c>
      <c r="G122">
        <f t="shared" si="9"/>
        <v>9997</v>
      </c>
      <c r="H122" t="str">
        <f t="shared" si="10"/>
        <v>Don't know</v>
      </c>
      <c r="J122" t="str">
        <f t="shared" si="11"/>
        <v>Don't know</v>
      </c>
    </row>
    <row r="123" spans="1:10" x14ac:dyDescent="0.25">
      <c r="A123" s="26">
        <v>9998</v>
      </c>
      <c r="B123" s="149" t="s">
        <v>797</v>
      </c>
      <c r="G123">
        <f t="shared" si="9"/>
        <v>9998</v>
      </c>
      <c r="H123" t="str">
        <f t="shared" si="10"/>
        <v>No idea</v>
      </c>
      <c r="J123" t="str">
        <f t="shared" si="11"/>
        <v>No idea</v>
      </c>
    </row>
    <row r="124" spans="1:10" x14ac:dyDescent="0.25">
      <c r="A124" s="26">
        <v>9999</v>
      </c>
      <c r="B124" s="149" t="s">
        <v>303</v>
      </c>
      <c r="G124">
        <f t="shared" si="9"/>
        <v>9999</v>
      </c>
      <c r="H124" t="str">
        <f t="shared" si="10"/>
        <v>None</v>
      </c>
      <c r="J124" t="str">
        <f t="shared" si="11"/>
        <v>None</v>
      </c>
    </row>
  </sheetData>
  <autoFilter ref="A1:J124" xr:uid="{856FFC99-6E16-42EA-A65B-FA648D578EDB}"/>
  <conditionalFormatting sqref="A104">
    <cfRule type="duplicateValues" dxfId="85" priority="7"/>
  </conditionalFormatting>
  <conditionalFormatting sqref="A105">
    <cfRule type="duplicateValues" dxfId="84" priority="8"/>
  </conditionalFormatting>
  <conditionalFormatting sqref="A106">
    <cfRule type="duplicateValues" dxfId="83" priority="5"/>
  </conditionalFormatting>
  <conditionalFormatting sqref="A107">
    <cfRule type="duplicateValues" dxfId="82" priority="6"/>
  </conditionalFormatting>
  <conditionalFormatting sqref="A86:A97">
    <cfRule type="duplicateValues" dxfId="81" priority="399"/>
  </conditionalFormatting>
  <conditionalFormatting sqref="A64">
    <cfRule type="duplicateValues" dxfId="80" priority="414"/>
  </conditionalFormatting>
  <conditionalFormatting sqref="A36">
    <cfRule type="duplicateValues" dxfId="79" priority="456"/>
  </conditionalFormatting>
  <conditionalFormatting sqref="A103 A1:A35 A65:A85 A37:A63">
    <cfRule type="duplicateValues" dxfId="78" priority="2939"/>
  </conditionalFormatting>
  <conditionalFormatting sqref="A103:A107 A1:A97">
    <cfRule type="duplicateValues" dxfId="77" priority="3047"/>
  </conditionalFormatting>
  <conditionalFormatting sqref="B103:B107 B1:B97">
    <cfRule type="duplicateValues" dxfId="76" priority="3049"/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B6338-70BB-4843-902A-D31817297D7E}">
  <sheetPr>
    <tabColor rgb="FF92D050"/>
  </sheetPr>
  <dimension ref="A1:J157"/>
  <sheetViews>
    <sheetView tabSelected="1" workbookViewId="0">
      <selection activeCell="J88" sqref="J88"/>
    </sheetView>
  </sheetViews>
  <sheetFormatPr defaultRowHeight="15" x14ac:dyDescent="0.25"/>
  <cols>
    <col min="1" max="1" width="9.140625" style="154"/>
    <col min="2" max="2" width="52.7109375" style="154" customWidth="1"/>
    <col min="3" max="7" width="9.140625" style="154"/>
    <col min="8" max="8" width="43.42578125" style="154" customWidth="1"/>
    <col min="9" max="9" width="22.7109375" style="154" customWidth="1"/>
    <col min="10" max="16384" width="9.140625" style="154"/>
  </cols>
  <sheetData>
    <row r="1" spans="1:10" x14ac:dyDescent="0.25">
      <c r="A1" s="162" t="s">
        <v>533</v>
      </c>
      <c r="B1" s="162" t="s">
        <v>536</v>
      </c>
      <c r="C1" s="154" t="s">
        <v>534</v>
      </c>
      <c r="D1" s="154" t="s">
        <v>535</v>
      </c>
      <c r="E1" s="154" t="s">
        <v>325</v>
      </c>
      <c r="F1" s="154" t="s">
        <v>324</v>
      </c>
      <c r="G1" s="154" t="s">
        <v>13</v>
      </c>
      <c r="H1" s="154" t="s">
        <v>330</v>
      </c>
      <c r="I1" s="154" t="s">
        <v>523</v>
      </c>
      <c r="J1" s="154" t="s">
        <v>537</v>
      </c>
    </row>
    <row r="2" spans="1:10" ht="15.75" x14ac:dyDescent="0.25">
      <c r="A2" s="161" t="s">
        <v>1513</v>
      </c>
      <c r="B2" s="155" t="s">
        <v>1155</v>
      </c>
      <c r="C2" s="154" t="s">
        <v>6</v>
      </c>
      <c r="D2" s="154" t="s">
        <v>323</v>
      </c>
      <c r="E2" s="154" t="s">
        <v>322</v>
      </c>
      <c r="F2" s="154" t="s">
        <v>327</v>
      </c>
      <c r="G2" s="154" t="str">
        <f>IF(A2="","",A2)</f>
        <v>1001+1002+1003+1004+1005+1031+1050+1051+1053+1056+1073+1075+1085</v>
      </c>
      <c r="H2" s="154" t="str">
        <f>_xlfn.CONCAT(D2,SUBSTITUTE(B2,"""","`"""),E2)</f>
        <v>`GCASH MENTIONS (NET)&lt;Q&gt;</v>
      </c>
      <c r="I2" s="154" t="s">
        <v>518</v>
      </c>
      <c r="J2" s="154" t="str">
        <f>_xlfn.CONCAT(I2,H2)</f>
        <v>&lt;G1B&gt;`GCASH MENTIONS (NET)&lt;Q&gt;</v>
      </c>
    </row>
    <row r="3" spans="1:10" x14ac:dyDescent="0.25">
      <c r="A3" s="161">
        <v>1001</v>
      </c>
      <c r="B3" s="163" t="s">
        <v>641</v>
      </c>
      <c r="C3" s="154" t="s">
        <v>16</v>
      </c>
      <c r="D3" s="154" t="s">
        <v>318</v>
      </c>
      <c r="F3" s="154" t="s">
        <v>326</v>
      </c>
      <c r="G3" s="154">
        <f>IF(A3="","",A3)</f>
        <v>1001</v>
      </c>
      <c r="H3" s="154" t="str">
        <f>_xlfn.CONCAT(D3,SUBSTITUTE(B3,"""","`"""),E3)</f>
        <v>`     GCash</v>
      </c>
      <c r="I3" s="154" t="s">
        <v>520</v>
      </c>
      <c r="J3" s="154" t="str">
        <f>_xlfn.CONCAT(I3,H3)</f>
        <v>&lt;G2B&gt;&lt;G1P&gt;`     GCash</v>
      </c>
    </row>
    <row r="4" spans="1:10" x14ac:dyDescent="0.25">
      <c r="A4" s="161">
        <v>1002</v>
      </c>
      <c r="B4" s="163" t="s">
        <v>470</v>
      </c>
      <c r="C4" s="154" t="s">
        <v>16</v>
      </c>
      <c r="D4" s="154" t="s">
        <v>318</v>
      </c>
      <c r="F4" s="154" t="s">
        <v>326</v>
      </c>
      <c r="G4" s="154">
        <f>IF(A4="","",A4)</f>
        <v>1002</v>
      </c>
      <c r="H4" s="154" t="str">
        <f>_xlfn.CONCAT(D4,SUBSTITUTE(B4,"""","`"""),E4)</f>
        <v>`     About GCash</v>
      </c>
      <c r="I4" s="154" t="s">
        <v>522</v>
      </c>
      <c r="J4" s="154" t="str">
        <f>_xlfn.CONCAT(I4,H4)</f>
        <v>&lt;G1P&gt;`     About GCash</v>
      </c>
    </row>
    <row r="5" spans="1:10" x14ac:dyDescent="0.25">
      <c r="A5" s="161">
        <v>1003</v>
      </c>
      <c r="B5" s="163" t="s">
        <v>1156</v>
      </c>
      <c r="C5" s="154" t="s">
        <v>16</v>
      </c>
      <c r="D5" s="154" t="s">
        <v>318</v>
      </c>
      <c r="F5" s="154" t="s">
        <v>326</v>
      </c>
      <c r="G5" s="154">
        <f>IF(A5="","",A5)</f>
        <v>1003</v>
      </c>
      <c r="H5" s="154" t="str">
        <f>_xlfn.CONCAT(D5,SUBSTITUTE(B5,"""","`"""),E5)</f>
        <v>`     GCash stories</v>
      </c>
      <c r="I5" s="154" t="s">
        <v>522</v>
      </c>
      <c r="J5" s="154" t="str">
        <f>_xlfn.CONCAT(I5,H5)</f>
        <v>&lt;G1P&gt;`     GCash stories</v>
      </c>
    </row>
    <row r="6" spans="1:10" x14ac:dyDescent="0.25">
      <c r="A6" s="161">
        <v>1004</v>
      </c>
      <c r="B6" s="163" t="s">
        <v>913</v>
      </c>
      <c r="C6" s="154" t="s">
        <v>16</v>
      </c>
      <c r="D6" s="154" t="s">
        <v>318</v>
      </c>
      <c r="F6" s="154" t="s">
        <v>326</v>
      </c>
      <c r="G6" s="154">
        <f>IF(A6="","",A6)</f>
        <v>1004</v>
      </c>
      <c r="H6" s="154" t="str">
        <f>_xlfn.CONCAT(D6,SUBSTITUTE(B6,"""","`"""),E6)</f>
        <v>`     Encouraging people to use GCash</v>
      </c>
      <c r="I6" s="154" t="s">
        <v>522</v>
      </c>
      <c r="J6" s="154" t="str">
        <f>_xlfn.CONCAT(I6,H6)</f>
        <v>&lt;G1P&gt;`     Encouraging people to use GCash</v>
      </c>
    </row>
    <row r="7" spans="1:10" x14ac:dyDescent="0.25">
      <c r="A7" s="161">
        <v>1005</v>
      </c>
      <c r="B7" s="163" t="s">
        <v>1157</v>
      </c>
      <c r="C7" s="154" t="s">
        <v>16</v>
      </c>
      <c r="D7" s="154" t="s">
        <v>318</v>
      </c>
      <c r="F7" s="154" t="s">
        <v>326</v>
      </c>
      <c r="G7" s="154">
        <f>IF(A7="","",A7)</f>
        <v>1005</v>
      </c>
      <c r="H7" s="154" t="str">
        <f>_xlfn.CONCAT(D7,SUBSTITUTE(B7,"""","`"""),E7)</f>
        <v>`     GCash is important</v>
      </c>
      <c r="I7" s="154" t="s">
        <v>522</v>
      </c>
      <c r="J7" s="154" t="str">
        <f>_xlfn.CONCAT(I7,H7)</f>
        <v>&lt;G1P&gt;`     GCash is important</v>
      </c>
    </row>
    <row r="8" spans="1:10" x14ac:dyDescent="0.25">
      <c r="A8" s="156">
        <v>1031</v>
      </c>
      <c r="B8" s="157" t="s">
        <v>1158</v>
      </c>
      <c r="C8" s="154" t="s">
        <v>16</v>
      </c>
      <c r="D8" s="154" t="s">
        <v>318</v>
      </c>
      <c r="F8" s="154" t="s">
        <v>326</v>
      </c>
      <c r="G8" s="154">
        <f>IF(A8="","",A8)</f>
        <v>1031</v>
      </c>
      <c r="H8" s="154" t="str">
        <f>_xlfn.CONCAT(D8,SUBSTITUTE(B8,"""","`"""),E8)</f>
        <v>`     GCash has different kind of services</v>
      </c>
      <c r="I8" s="154" t="s">
        <v>522</v>
      </c>
      <c r="J8" s="154" t="str">
        <f>_xlfn.CONCAT(I8,H8)</f>
        <v>&lt;G1P&gt;`     GCash has different kind of services</v>
      </c>
    </row>
    <row r="9" spans="1:10" x14ac:dyDescent="0.25">
      <c r="A9" s="158">
        <v>1050</v>
      </c>
      <c r="B9" s="159" t="s">
        <v>1159</v>
      </c>
      <c r="C9" s="154" t="s">
        <v>16</v>
      </c>
      <c r="D9" s="154" t="s">
        <v>318</v>
      </c>
      <c r="F9" s="154" t="s">
        <v>326</v>
      </c>
      <c r="G9" s="154">
        <f>IF(A9="","",A9)</f>
        <v>1050</v>
      </c>
      <c r="H9" s="154" t="str">
        <f>_xlfn.CONCAT(D9,SUBSTITUTE(B9,"""","`"""),E9)</f>
        <v>`     Gcash advertise</v>
      </c>
      <c r="I9" s="154" t="s">
        <v>522</v>
      </c>
      <c r="J9" s="154" t="str">
        <f>_xlfn.CONCAT(I9,H9)</f>
        <v>&lt;G1P&gt;`     Gcash advertise</v>
      </c>
    </row>
    <row r="10" spans="1:10" x14ac:dyDescent="0.25">
      <c r="A10" s="158">
        <v>1051</v>
      </c>
      <c r="B10" s="159" t="s">
        <v>1160</v>
      </c>
      <c r="C10" s="154" t="s">
        <v>16</v>
      </c>
      <c r="D10" s="154" t="s">
        <v>318</v>
      </c>
      <c r="F10" s="154" t="s">
        <v>326</v>
      </c>
      <c r="G10" s="154">
        <f>IF(A10="","",A10)</f>
        <v>1051</v>
      </c>
      <c r="H10" s="154" t="str">
        <f>_xlfn.CONCAT(D10,SUBSTITUTE(B10,"""","`"""),E10)</f>
        <v>`     Gcash for athlete's</v>
      </c>
      <c r="I10" s="154" t="s">
        <v>522</v>
      </c>
      <c r="J10" s="154" t="str">
        <f>_xlfn.CONCAT(I10,H10)</f>
        <v>&lt;G1P&gt;`     Gcash for athlete's</v>
      </c>
    </row>
    <row r="11" spans="1:10" x14ac:dyDescent="0.25">
      <c r="A11" s="158">
        <v>1053</v>
      </c>
      <c r="B11" s="159" t="s">
        <v>1161</v>
      </c>
      <c r="C11" s="154" t="s">
        <v>16</v>
      </c>
      <c r="D11" s="154" t="s">
        <v>318</v>
      </c>
      <c r="F11" s="154" t="s">
        <v>326</v>
      </c>
      <c r="G11" s="154">
        <f>IF(A11="","",A11)</f>
        <v>1053</v>
      </c>
      <c r="H11" s="154" t="str">
        <f>_xlfn.CONCAT(D11,SUBSTITUTE(B11,"""","`"""),E11)</f>
        <v>`     Gcash saving</v>
      </c>
      <c r="I11" s="154" t="s">
        <v>522</v>
      </c>
      <c r="J11" s="154" t="str">
        <f>_xlfn.CONCAT(I11,H11)</f>
        <v>&lt;G1P&gt;`     Gcash saving</v>
      </c>
    </row>
    <row r="12" spans="1:10" x14ac:dyDescent="0.25">
      <c r="A12" s="158">
        <v>1056</v>
      </c>
      <c r="B12" s="159" t="s">
        <v>1162</v>
      </c>
      <c r="C12" s="154" t="s">
        <v>16</v>
      </c>
      <c r="D12" s="154" t="s">
        <v>318</v>
      </c>
      <c r="F12" s="154" t="s">
        <v>326</v>
      </c>
      <c r="G12" s="154">
        <f>IF(A12="","",A12)</f>
        <v>1056</v>
      </c>
      <c r="H12" s="154" t="str">
        <f>_xlfn.CONCAT(D12,SUBSTITUTE(B12,"""","`"""),E12)</f>
        <v>`     Happy with gcash</v>
      </c>
      <c r="I12" s="154" t="s">
        <v>522</v>
      </c>
      <c r="J12" s="154" t="str">
        <f>_xlfn.CONCAT(I12,H12)</f>
        <v>&lt;G1P&gt;`     Happy with gcash</v>
      </c>
    </row>
    <row r="13" spans="1:10" x14ac:dyDescent="0.25">
      <c r="A13" s="167">
        <v>1073</v>
      </c>
      <c r="B13" s="166" t="s">
        <v>1228</v>
      </c>
      <c r="C13" s="154" t="s">
        <v>16</v>
      </c>
      <c r="D13" s="154" t="s">
        <v>318</v>
      </c>
      <c r="F13" s="154" t="s">
        <v>326</v>
      </c>
      <c r="G13" s="154">
        <f>IF(A13="","",A13)</f>
        <v>1073</v>
      </c>
      <c r="H13" s="154" t="str">
        <f>_xlfn.CONCAT(D13,SUBSTITUTE(B13,"""","`"""),E13)</f>
        <v>`     Send to gcash if you want to help</v>
      </c>
      <c r="I13" s="154" t="s">
        <v>522</v>
      </c>
      <c r="J13" s="154" t="str">
        <f>_xlfn.CONCAT(I13,H13)</f>
        <v>&lt;G1P&gt;`     Send to gcash if you want to help</v>
      </c>
    </row>
    <row r="14" spans="1:10" x14ac:dyDescent="0.25">
      <c r="A14" s="167">
        <v>1075</v>
      </c>
      <c r="B14" s="166" t="s">
        <v>1230</v>
      </c>
      <c r="C14" s="154" t="s">
        <v>16</v>
      </c>
      <c r="D14" s="154" t="s">
        <v>318</v>
      </c>
      <c r="F14" s="154" t="s">
        <v>326</v>
      </c>
      <c r="G14" s="154">
        <f>IF(A14="","",A14)</f>
        <v>1075</v>
      </c>
      <c r="H14" s="154" t="str">
        <f>_xlfn.CONCAT(D14,SUBSTITUTE(B14,"""","`"""),E14)</f>
        <v>`     Many gcash users</v>
      </c>
      <c r="I14" s="154" t="s">
        <v>522</v>
      </c>
      <c r="J14" s="154" t="str">
        <f>_xlfn.CONCAT(I14,H14)</f>
        <v>&lt;G1P&gt;`     Many gcash users</v>
      </c>
    </row>
    <row r="15" spans="1:10" x14ac:dyDescent="0.25">
      <c r="A15" s="167">
        <v>1085</v>
      </c>
      <c r="B15" s="166" t="s">
        <v>1239</v>
      </c>
      <c r="C15" s="154" t="s">
        <v>16</v>
      </c>
      <c r="D15" s="154" t="s">
        <v>318</v>
      </c>
      <c r="F15" s="154" t="s">
        <v>326</v>
      </c>
      <c r="G15" s="154">
        <f>IF(A15="","",A15)</f>
        <v>1085</v>
      </c>
      <c r="H15" s="154" t="str">
        <f>_xlfn.CONCAT(D15,SUBSTITUTE(B15,"""","`"""),E15)</f>
        <v>`     With gcash life is good</v>
      </c>
      <c r="I15" s="154" t="s">
        <v>521</v>
      </c>
      <c r="J15" s="154" t="str">
        <f>_xlfn.CONCAT(I15,H15)</f>
        <v>&lt;G2E&gt;&lt;G1P&gt;`     With gcash life is good</v>
      </c>
    </row>
    <row r="16" spans="1:10" ht="15.75" x14ac:dyDescent="0.25">
      <c r="A16" s="161" t="s">
        <v>1514</v>
      </c>
      <c r="B16" s="155" t="s">
        <v>1163</v>
      </c>
      <c r="C16" s="154" t="s">
        <v>6</v>
      </c>
      <c r="D16" s="154" t="s">
        <v>323</v>
      </c>
      <c r="E16" s="154" t="s">
        <v>322</v>
      </c>
      <c r="F16" s="154" t="s">
        <v>327</v>
      </c>
      <c r="G16" s="154" t="str">
        <f>IF(A16="","",A16)</f>
        <v>1006+1007+1008+1009+1010+1035+1036+1054+1060+1048+1081+1083</v>
      </c>
      <c r="H16" s="154" t="str">
        <f>_xlfn.CONCAT(D16,SUBSTITUTE(B16,"""","`"""),E16)</f>
        <v>`PINOY ATHLETES (NET)&lt;Q&gt;</v>
      </c>
      <c r="J16" s="154" t="str">
        <f>_xlfn.CONCAT(I16,H16)</f>
        <v>`PINOY ATHLETES (NET)&lt;Q&gt;</v>
      </c>
    </row>
    <row r="17" spans="1:10" x14ac:dyDescent="0.25">
      <c r="A17" s="161">
        <v>1006</v>
      </c>
      <c r="B17" s="163" t="s">
        <v>1164</v>
      </c>
      <c r="C17" s="154" t="s">
        <v>16</v>
      </c>
      <c r="D17" s="154" t="s">
        <v>318</v>
      </c>
      <c r="F17" s="154" t="s">
        <v>326</v>
      </c>
      <c r="G17" s="154">
        <f>IF(A17="","",A17)</f>
        <v>1006</v>
      </c>
      <c r="H17" s="154" t="str">
        <f>_xlfn.CONCAT(D17,SUBSTITUTE(B17,"""","`"""),E17)</f>
        <v>`     GCash also helps the Pinoy athletes</v>
      </c>
      <c r="I17" s="154" t="s">
        <v>520</v>
      </c>
      <c r="J17" s="154" t="str">
        <f>_xlfn.CONCAT(I17,H17)</f>
        <v>&lt;G2B&gt;&lt;G1P&gt;`     GCash also helps the Pinoy athletes</v>
      </c>
    </row>
    <row r="18" spans="1:10" x14ac:dyDescent="0.25">
      <c r="A18" s="161">
        <v>1007</v>
      </c>
      <c r="B18" s="163" t="s">
        <v>1165</v>
      </c>
      <c r="C18" s="154" t="s">
        <v>16</v>
      </c>
      <c r="D18" s="154" t="s">
        <v>318</v>
      </c>
      <c r="F18" s="154" t="s">
        <v>326</v>
      </c>
      <c r="G18" s="154">
        <f>IF(A18="","",A18)</f>
        <v>1007</v>
      </c>
      <c r="H18" s="154" t="str">
        <f>_xlfn.CONCAT(D18,SUBSTITUTE(B18,"""","`"""),E18)</f>
        <v>`     Pinoy athletes</v>
      </c>
      <c r="I18" s="154" t="s">
        <v>522</v>
      </c>
      <c r="J18" s="154" t="str">
        <f>_xlfn.CONCAT(I18,H18)</f>
        <v>&lt;G1P&gt;`     Pinoy athletes</v>
      </c>
    </row>
    <row r="19" spans="1:10" x14ac:dyDescent="0.25">
      <c r="A19" s="161">
        <v>1008</v>
      </c>
      <c r="B19" s="163" t="s">
        <v>1166</v>
      </c>
      <c r="C19" s="154" t="s">
        <v>16</v>
      </c>
      <c r="D19" s="154" t="s">
        <v>318</v>
      </c>
      <c r="F19" s="154" t="s">
        <v>326</v>
      </c>
      <c r="G19" s="154">
        <f>IF(A19="","",A19)</f>
        <v>1008</v>
      </c>
      <c r="H19" s="154" t="str">
        <f>_xlfn.CONCAT(D19,SUBSTITUTE(B19,"""","`"""),E19)</f>
        <v>`     Support the athletes</v>
      </c>
      <c r="I19" s="154" t="s">
        <v>522</v>
      </c>
      <c r="J19" s="154" t="str">
        <f>_xlfn.CONCAT(I19,H19)</f>
        <v>&lt;G1P&gt;`     Support the athletes</v>
      </c>
    </row>
    <row r="20" spans="1:10" x14ac:dyDescent="0.25">
      <c r="A20" s="161">
        <v>1009</v>
      </c>
      <c r="B20" s="163" t="s">
        <v>1167</v>
      </c>
      <c r="C20" s="154" t="s">
        <v>16</v>
      </c>
      <c r="D20" s="154" t="s">
        <v>318</v>
      </c>
      <c r="F20" s="154" t="s">
        <v>326</v>
      </c>
      <c r="G20" s="154">
        <f>IF(A20="","",A20)</f>
        <v>1009</v>
      </c>
      <c r="H20" s="154" t="str">
        <f>_xlfn.CONCAT(D20,SUBSTITUTE(B20,"""","`"""),E20)</f>
        <v>`     About the Olympics</v>
      </c>
      <c r="I20" s="154" t="s">
        <v>522</v>
      </c>
      <c r="J20" s="154" t="str">
        <f>_xlfn.CONCAT(I20,H20)</f>
        <v>&lt;G1P&gt;`     About the Olympics</v>
      </c>
    </row>
    <row r="21" spans="1:10" x14ac:dyDescent="0.25">
      <c r="A21" s="161">
        <v>1010</v>
      </c>
      <c r="B21" s="163" t="s">
        <v>1168</v>
      </c>
      <c r="C21" s="154" t="s">
        <v>16</v>
      </c>
      <c r="D21" s="154" t="s">
        <v>318</v>
      </c>
      <c r="F21" s="154" t="s">
        <v>326</v>
      </c>
      <c r="G21" s="154">
        <f>IF(A21="","",A21)</f>
        <v>1010</v>
      </c>
      <c r="H21" s="154" t="str">
        <f>_xlfn.CONCAT(D21,SUBSTITUTE(B21,"""","`"""),E21)</f>
        <v>`     To support the athletes</v>
      </c>
      <c r="I21" s="154" t="s">
        <v>522</v>
      </c>
      <c r="J21" s="154" t="str">
        <f>_xlfn.CONCAT(I21,H21)</f>
        <v>&lt;G1P&gt;`     To support the athletes</v>
      </c>
    </row>
    <row r="22" spans="1:10" x14ac:dyDescent="0.25">
      <c r="A22" s="164">
        <v>1035</v>
      </c>
      <c r="B22" s="165" t="s">
        <v>1169</v>
      </c>
      <c r="C22" s="154" t="s">
        <v>16</v>
      </c>
      <c r="D22" s="154" t="s">
        <v>318</v>
      </c>
      <c r="F22" s="154" t="s">
        <v>326</v>
      </c>
      <c r="G22" s="154">
        <f>IF(A22="","",A22)</f>
        <v>1035</v>
      </c>
      <c r="H22" s="154" t="str">
        <f>_xlfn.CONCAT(D22,SUBSTITUTE(B22,"""","`"""),E22)</f>
        <v>`     Dream of being athletes</v>
      </c>
      <c r="I22" s="154" t="s">
        <v>522</v>
      </c>
      <c r="J22" s="154" t="str">
        <f>_xlfn.CONCAT(I22,H22)</f>
        <v>&lt;G1P&gt;`     Dream of being athletes</v>
      </c>
    </row>
    <row r="23" spans="1:10" x14ac:dyDescent="0.25">
      <c r="A23" s="164">
        <v>1036</v>
      </c>
      <c r="B23" s="165" t="s">
        <v>1170</v>
      </c>
      <c r="C23" s="154" t="s">
        <v>16</v>
      </c>
      <c r="D23" s="154" t="s">
        <v>318</v>
      </c>
      <c r="F23" s="154" t="s">
        <v>326</v>
      </c>
      <c r="G23" s="154">
        <f>IF(A23="","",A23)</f>
        <v>1036</v>
      </c>
      <c r="H23" s="154" t="str">
        <f>_xlfn.CONCAT(D23,SUBSTITUTE(B23,"""","`"""),E23)</f>
        <v>`     Yulo is not for basketball anymore, can have milyons for just doing summersault</v>
      </c>
      <c r="I23" s="154" t="s">
        <v>522</v>
      </c>
      <c r="J23" s="154" t="str">
        <f>_xlfn.CONCAT(I23,H23)</f>
        <v>&lt;G1P&gt;`     Yulo is not for basketball anymore, can have milyons for just doing summersault</v>
      </c>
    </row>
    <row r="24" spans="1:10" x14ac:dyDescent="0.25">
      <c r="A24" s="167">
        <v>1054</v>
      </c>
      <c r="B24" s="166" t="s">
        <v>1171</v>
      </c>
      <c r="C24" s="154" t="s">
        <v>16</v>
      </c>
      <c r="D24" s="154" t="s">
        <v>318</v>
      </c>
      <c r="F24" s="154" t="s">
        <v>326</v>
      </c>
      <c r="G24" s="154">
        <f>IF(A24="","",A24)</f>
        <v>1054</v>
      </c>
      <c r="H24" s="154" t="str">
        <f>_xlfn.CONCAT(D24,SUBSTITUTE(B24,"""","`"""),E24)</f>
        <v>`     Athletes with dissability</v>
      </c>
      <c r="I24" s="154" t="s">
        <v>522</v>
      </c>
      <c r="J24" s="154" t="str">
        <f>_xlfn.CONCAT(I24,H24)</f>
        <v>&lt;G1P&gt;`     Athletes with dissability</v>
      </c>
    </row>
    <row r="25" spans="1:10" x14ac:dyDescent="0.25">
      <c r="A25" s="167">
        <v>1060</v>
      </c>
      <c r="B25" s="166" t="s">
        <v>1172</v>
      </c>
      <c r="C25" s="154" t="s">
        <v>16</v>
      </c>
      <c r="D25" s="154" t="s">
        <v>318</v>
      </c>
      <c r="F25" s="154" t="s">
        <v>326</v>
      </c>
      <c r="G25" s="154">
        <f>IF(A25="","",A25)</f>
        <v>1060</v>
      </c>
      <c r="H25" s="154" t="str">
        <f>_xlfn.CONCAT(D25,SUBSTITUTE(B25,"""","`"""),E25)</f>
        <v>`     Even with a disability can be an athlete</v>
      </c>
      <c r="I25" s="154" t="s">
        <v>522</v>
      </c>
      <c r="J25" s="154" t="str">
        <f>_xlfn.CONCAT(I25,H25)</f>
        <v>&lt;G1P&gt;`     Even with a disability can be an athlete</v>
      </c>
    </row>
    <row r="26" spans="1:10" x14ac:dyDescent="0.25">
      <c r="A26" s="167">
        <v>1048</v>
      </c>
      <c r="B26" s="166" t="s">
        <v>1216</v>
      </c>
      <c r="C26" s="154" t="s">
        <v>16</v>
      </c>
      <c r="D26" s="154" t="s">
        <v>318</v>
      </c>
      <c r="F26" s="154" t="s">
        <v>326</v>
      </c>
      <c r="G26" s="154">
        <f>IF(A26="","",A26)</f>
        <v>1048</v>
      </c>
      <c r="H26" s="154" t="str">
        <f>_xlfn.CONCAT(D26,SUBSTITUTE(B26,"""","`"""),E26)</f>
        <v>`     Fund raising to help aspiring atheletes with disabilities</v>
      </c>
      <c r="I26" s="154" t="s">
        <v>522</v>
      </c>
      <c r="J26" s="154" t="str">
        <f>_xlfn.CONCAT(I26,H26)</f>
        <v>&lt;G1P&gt;`     Fund raising to help aspiring atheletes with disabilities</v>
      </c>
    </row>
    <row r="27" spans="1:10" x14ac:dyDescent="0.25">
      <c r="A27" s="167">
        <v>1081</v>
      </c>
      <c r="B27" s="166" t="s">
        <v>1235</v>
      </c>
      <c r="C27" s="154" t="s">
        <v>16</v>
      </c>
      <c r="D27" s="154" t="s">
        <v>318</v>
      </c>
      <c r="F27" s="154" t="s">
        <v>326</v>
      </c>
      <c r="G27" s="154">
        <f>IF(A27="","",A27)</f>
        <v>1081</v>
      </c>
      <c r="H27" s="154" t="str">
        <f>_xlfn.CONCAT(D27,SUBSTITUTE(B27,"""","`"""),E27)</f>
        <v>`     For sports</v>
      </c>
      <c r="I27" s="154" t="s">
        <v>522</v>
      </c>
      <c r="J27" s="154" t="str">
        <f>_xlfn.CONCAT(I27,H27)</f>
        <v>&lt;G1P&gt;`     For sports</v>
      </c>
    </row>
    <row r="28" spans="1:10" x14ac:dyDescent="0.25">
      <c r="A28" s="167">
        <v>1083</v>
      </c>
      <c r="B28" s="166" t="s">
        <v>1237</v>
      </c>
      <c r="C28" s="154" t="s">
        <v>16</v>
      </c>
      <c r="D28" s="154" t="s">
        <v>318</v>
      </c>
      <c r="F28" s="154" t="s">
        <v>326</v>
      </c>
      <c r="G28" s="154">
        <f>IF(A28="","",A28)</f>
        <v>1083</v>
      </c>
      <c r="H28" s="154" t="str">
        <f>_xlfn.CONCAT(D28,SUBSTITUTE(B28,"""","`"""),E28)</f>
        <v>`     PWD</v>
      </c>
      <c r="I28" s="154" t="s">
        <v>521</v>
      </c>
      <c r="J28" s="154" t="str">
        <f>_xlfn.CONCAT(I28,H28)</f>
        <v>&lt;G2E&gt;&lt;G1P&gt;`     PWD</v>
      </c>
    </row>
    <row r="29" spans="1:10" ht="15.75" x14ac:dyDescent="0.25">
      <c r="A29" s="161">
        <v>1011</v>
      </c>
      <c r="B29" s="155" t="s">
        <v>1173</v>
      </c>
      <c r="C29" s="154" t="s">
        <v>6</v>
      </c>
      <c r="D29" s="154" t="s">
        <v>323</v>
      </c>
      <c r="E29" s="154" t="s">
        <v>322</v>
      </c>
      <c r="F29" s="154" t="s">
        <v>327</v>
      </c>
      <c r="G29" s="154">
        <f>IF(A29="","",A29)</f>
        <v>1011</v>
      </c>
      <c r="H29" s="154" t="str">
        <f>_xlfn.CONCAT(D29,SUBSTITUTE(B29,"""","`"""),E29)</f>
        <v>`BUY LOAD VIA GCASH TO DONWLOAD MOVIES (NET)&lt;Q&gt;</v>
      </c>
      <c r="J29" s="154" t="str">
        <f>_xlfn.CONCAT(I29,H29)</f>
        <v>`BUY LOAD VIA GCASH TO DONWLOAD MOVIES (NET)&lt;Q&gt;</v>
      </c>
    </row>
    <row r="30" spans="1:10" x14ac:dyDescent="0.25">
      <c r="A30" s="161">
        <v>1011</v>
      </c>
      <c r="B30" s="160" t="s">
        <v>1174</v>
      </c>
      <c r="C30" s="154" t="s">
        <v>16</v>
      </c>
      <c r="D30" s="154" t="s">
        <v>318</v>
      </c>
      <c r="F30" s="154" t="s">
        <v>326</v>
      </c>
      <c r="G30" s="154">
        <f>IF(A30="","",A30)</f>
        <v>1011</v>
      </c>
      <c r="H30" s="154" t="str">
        <f>_xlfn.CONCAT(D30,SUBSTITUTE(B30,"""","`"""),E30)</f>
        <v>`     Can pay via GCash to download/ avail movies</v>
      </c>
      <c r="I30" s="154" t="s">
        <v>522</v>
      </c>
      <c r="J30" s="154" t="str">
        <f>_xlfn.CONCAT(I30,H30)</f>
        <v>&lt;G1P&gt;`     Can pay via GCash to download/ avail movies</v>
      </c>
    </row>
    <row r="31" spans="1:10" ht="15.75" x14ac:dyDescent="0.25">
      <c r="A31" s="161">
        <v>1012</v>
      </c>
      <c r="B31" s="155" t="s">
        <v>1175</v>
      </c>
      <c r="C31" s="154" t="s">
        <v>6</v>
      </c>
      <c r="D31" s="154" t="s">
        <v>323</v>
      </c>
      <c r="E31" s="154" t="s">
        <v>322</v>
      </c>
      <c r="F31" s="154" t="s">
        <v>327</v>
      </c>
      <c r="G31" s="154">
        <f>IF(A31="","",A31)</f>
        <v>1012</v>
      </c>
      <c r="H31" s="154" t="str">
        <f>_xlfn.CONCAT(D31,SUBSTITUTE(B31,"""","`"""),E31)</f>
        <v>`CAN USE GCASH ANYWHERE IN THE WORLD (NET)&lt;Q&gt;</v>
      </c>
      <c r="J31" s="154" t="str">
        <f>_xlfn.CONCAT(I31,H31)</f>
        <v>`CAN USE GCASH ANYWHERE IN THE WORLD (NET)&lt;Q&gt;</v>
      </c>
    </row>
    <row r="32" spans="1:10" x14ac:dyDescent="0.25">
      <c r="A32" s="161">
        <v>1012</v>
      </c>
      <c r="B32" s="160" t="s">
        <v>1176</v>
      </c>
      <c r="C32" s="154" t="s">
        <v>16</v>
      </c>
      <c r="D32" s="154" t="s">
        <v>318</v>
      </c>
      <c r="F32" s="154" t="s">
        <v>326</v>
      </c>
      <c r="G32" s="154">
        <f>IF(A32="","",A32)</f>
        <v>1012</v>
      </c>
      <c r="H32" s="154" t="str">
        <f>_xlfn.CONCAT(D32,SUBSTITUTE(B32,"""","`"""),E32)</f>
        <v>`     You can use GCash anywhere in the world</v>
      </c>
      <c r="I32" s="154" t="s">
        <v>522</v>
      </c>
      <c r="J32" s="154" t="str">
        <f>_xlfn.CONCAT(I32,H32)</f>
        <v>&lt;G1P&gt;`     You can use GCash anywhere in the world</v>
      </c>
    </row>
    <row r="33" spans="1:10" ht="15.75" x14ac:dyDescent="0.25">
      <c r="A33" s="161" t="s">
        <v>1515</v>
      </c>
      <c r="B33" s="155" t="s">
        <v>456</v>
      </c>
      <c r="C33" s="154" t="s">
        <v>6</v>
      </c>
      <c r="D33" s="154" t="s">
        <v>323</v>
      </c>
      <c r="E33" s="154" t="s">
        <v>322</v>
      </c>
      <c r="F33" s="154" t="s">
        <v>327</v>
      </c>
      <c r="G33" s="154" t="str">
        <f>IF(A33="","",A33)</f>
        <v>1013+1039+1058+1059+1064</v>
      </c>
      <c r="H33" s="154" t="str">
        <f>_xlfn.CONCAT(D33,SUBSTITUTE(B33,"""","`"""),E33)</f>
        <v>`INCLUSIVITY (NET)&lt;Q&gt;</v>
      </c>
      <c r="J33" s="154" t="str">
        <f>_xlfn.CONCAT(I33,H33)</f>
        <v>`INCLUSIVITY (NET)&lt;Q&gt;</v>
      </c>
    </row>
    <row r="34" spans="1:10" x14ac:dyDescent="0.25">
      <c r="A34" s="161">
        <v>1013</v>
      </c>
      <c r="B34" s="160" t="s">
        <v>1177</v>
      </c>
      <c r="C34" s="154" t="s">
        <v>16</v>
      </c>
      <c r="D34" s="154" t="s">
        <v>318</v>
      </c>
      <c r="F34" s="154" t="s">
        <v>326</v>
      </c>
      <c r="G34" s="154">
        <f>IF(A34="","",A34)</f>
        <v>1013</v>
      </c>
      <c r="H34" s="154" t="str">
        <f>_xlfn.CONCAT(D34,SUBSTITUTE(B34,"""","`"""),E34)</f>
        <v>`     Be persistent to achieve your goals together with GCash</v>
      </c>
      <c r="I34" s="154" t="s">
        <v>520</v>
      </c>
      <c r="J34" s="154" t="str">
        <f>_xlfn.CONCAT(I34,H34)</f>
        <v>&lt;G2B&gt;&lt;G1P&gt;`     Be persistent to achieve your goals together with GCash</v>
      </c>
    </row>
    <row r="35" spans="1:10" x14ac:dyDescent="0.25">
      <c r="A35" s="167">
        <v>1039</v>
      </c>
      <c r="B35" s="166" t="s">
        <v>1207</v>
      </c>
      <c r="C35" s="154" t="s">
        <v>16</v>
      </c>
      <c r="D35" s="154" t="s">
        <v>318</v>
      </c>
      <c r="F35" s="154" t="s">
        <v>326</v>
      </c>
      <c r="G35" s="154">
        <f>IF(A35="","",A35)</f>
        <v>1039</v>
      </c>
      <c r="H35" s="154" t="str">
        <f>_xlfn.CONCAT(D35,SUBSTITUTE(B35,"""","`"""),E35)</f>
        <v>`     Gcash is for everyone</v>
      </c>
      <c r="I35" s="154" t="s">
        <v>522</v>
      </c>
      <c r="J35" s="154" t="str">
        <f>_xlfn.CONCAT(I35,H35)</f>
        <v>&lt;G1P&gt;`     Gcash is for everyone</v>
      </c>
    </row>
    <row r="36" spans="1:10" x14ac:dyDescent="0.25">
      <c r="A36" s="167">
        <v>1058</v>
      </c>
      <c r="B36" s="166" t="s">
        <v>1219</v>
      </c>
      <c r="C36" s="154" t="s">
        <v>16</v>
      </c>
      <c r="D36" s="154" t="s">
        <v>318</v>
      </c>
      <c r="F36" s="154" t="s">
        <v>326</v>
      </c>
      <c r="G36" s="154">
        <f>IF(A36="","",A36)</f>
        <v>1058</v>
      </c>
      <c r="H36" s="154" t="str">
        <f>_xlfn.CONCAT(D36,SUBSTITUTE(B36,"""","`"""),E36)</f>
        <v>`     Even with disabilities they can used gcash for payment</v>
      </c>
      <c r="I36" s="154" t="s">
        <v>522</v>
      </c>
      <c r="J36" s="154" t="str">
        <f>_xlfn.CONCAT(I36,H36)</f>
        <v>&lt;G1P&gt;`     Even with disabilities they can used gcash for payment</v>
      </c>
    </row>
    <row r="37" spans="1:10" x14ac:dyDescent="0.25">
      <c r="A37" s="167">
        <v>1059</v>
      </c>
      <c r="B37" s="166" t="s">
        <v>1220</v>
      </c>
      <c r="C37" s="154" t="s">
        <v>16</v>
      </c>
      <c r="D37" s="154" t="s">
        <v>318</v>
      </c>
      <c r="F37" s="154" t="s">
        <v>326</v>
      </c>
      <c r="G37" s="154">
        <f>IF(A37="","",A37)</f>
        <v>1059</v>
      </c>
      <c r="H37" s="154" t="str">
        <f>_xlfn.CONCAT(D37,SUBSTITUTE(B37,"""","`"""),E37)</f>
        <v>`     EVEN IF THEY ARE DISABLED, YOU CAN HELP USING GCASH</v>
      </c>
      <c r="I37" s="154" t="s">
        <v>522</v>
      </c>
      <c r="J37" s="154" t="str">
        <f>_xlfn.CONCAT(I37,H37)</f>
        <v>&lt;G1P&gt;`     EVEN IF THEY ARE DISABLED, YOU CAN HELP USING GCASH</v>
      </c>
    </row>
    <row r="38" spans="1:10" x14ac:dyDescent="0.25">
      <c r="A38" s="167">
        <v>1064</v>
      </c>
      <c r="B38" s="166" t="s">
        <v>1221</v>
      </c>
      <c r="C38" s="154" t="s">
        <v>16</v>
      </c>
      <c r="D38" s="154" t="s">
        <v>318</v>
      </c>
      <c r="F38" s="154" t="s">
        <v>326</v>
      </c>
      <c r="G38" s="154">
        <f>IF(A38="","",A38)</f>
        <v>1064</v>
      </c>
      <c r="H38" s="154" t="str">
        <f>_xlfn.CONCAT(D38,SUBSTITUTE(B38,"""","`"""),E38)</f>
        <v>`     Even with disabilities they can used gcash</v>
      </c>
      <c r="I38" s="154" t="s">
        <v>521</v>
      </c>
      <c r="J38" s="154" t="str">
        <f>_xlfn.CONCAT(I38,H38)</f>
        <v>&lt;G2E&gt;&lt;G1P&gt;`     Even with disabilities they can used gcash</v>
      </c>
    </row>
    <row r="39" spans="1:10" ht="15.75" x14ac:dyDescent="0.25">
      <c r="A39" s="161" t="s">
        <v>1246</v>
      </c>
      <c r="B39" s="155" t="s">
        <v>1178</v>
      </c>
      <c r="C39" s="154" t="s">
        <v>6</v>
      </c>
      <c r="D39" s="154" t="s">
        <v>323</v>
      </c>
      <c r="E39" s="154" t="s">
        <v>322</v>
      </c>
      <c r="F39" s="154" t="s">
        <v>327</v>
      </c>
      <c r="G39" s="154" t="str">
        <f>IF(A39="","",A39)</f>
        <v>1014+1015</v>
      </c>
      <c r="H39" s="154" t="str">
        <f>_xlfn.CONCAT(D39,SUBSTITUTE(B39,"""","`"""),E39)</f>
        <v>`GIVES HOPE (NET)&lt;Q&gt;</v>
      </c>
      <c r="J39" s="154" t="str">
        <f>_xlfn.CONCAT(I39,H39)</f>
        <v>`GIVES HOPE (NET)&lt;Q&gt;</v>
      </c>
    </row>
    <row r="40" spans="1:10" x14ac:dyDescent="0.25">
      <c r="A40" s="161">
        <v>1014</v>
      </c>
      <c r="B40" s="163" t="s">
        <v>1179</v>
      </c>
      <c r="C40" s="154" t="s">
        <v>16</v>
      </c>
      <c r="D40" s="154" t="s">
        <v>318</v>
      </c>
      <c r="F40" s="154" t="s">
        <v>326</v>
      </c>
      <c r="G40" s="154">
        <f>IF(A40="","",A40)</f>
        <v>1014</v>
      </c>
      <c r="H40" s="154" t="str">
        <f>_xlfn.CONCAT(D40,SUBSTITUTE(B40,"""","`"""),E40)</f>
        <v>`     Do not lose hope because GCash is reliable</v>
      </c>
      <c r="I40" s="154" t="s">
        <v>520</v>
      </c>
      <c r="J40" s="154" t="str">
        <f>_xlfn.CONCAT(I40,H40)</f>
        <v>&lt;G2B&gt;&lt;G1P&gt;`     Do not lose hope because GCash is reliable</v>
      </c>
    </row>
    <row r="41" spans="1:10" x14ac:dyDescent="0.25">
      <c r="A41" s="161">
        <v>1015</v>
      </c>
      <c r="B41" s="163" t="s">
        <v>1180</v>
      </c>
      <c r="C41" s="154" t="s">
        <v>16</v>
      </c>
      <c r="D41" s="154" t="s">
        <v>318</v>
      </c>
      <c r="F41" s="154" t="s">
        <v>326</v>
      </c>
      <c r="G41" s="154">
        <f>IF(A41="","",A41)</f>
        <v>1015</v>
      </c>
      <c r="H41" s="154" t="str">
        <f>_xlfn.CONCAT(D41,SUBSTITUTE(B41,"""","`"""),E41)</f>
        <v>`     Do not lose hope</v>
      </c>
      <c r="I41" s="154" t="s">
        <v>521</v>
      </c>
      <c r="J41" s="154" t="str">
        <f>_xlfn.CONCAT(I41,H41)</f>
        <v>&lt;G2E&gt;&lt;G1P&gt;`     Do not lose hope</v>
      </c>
    </row>
    <row r="42" spans="1:10" ht="15.75" x14ac:dyDescent="0.25">
      <c r="A42" s="161" t="s">
        <v>1247</v>
      </c>
      <c r="B42" s="155" t="s">
        <v>411</v>
      </c>
      <c r="C42" s="154" t="s">
        <v>6</v>
      </c>
      <c r="D42" s="154" t="s">
        <v>323</v>
      </c>
      <c r="E42" s="154" t="s">
        <v>322</v>
      </c>
      <c r="F42" s="154" t="s">
        <v>327</v>
      </c>
      <c r="G42" s="154" t="str">
        <f>IF(A42="","",A42)</f>
        <v>1016+1070</v>
      </c>
      <c r="H42" s="154" t="str">
        <f>_xlfn.CONCAT(D42,SUBSTITUTE(B42,"""","`"""),E42)</f>
        <v>`FAST TRANSACTION (NET)&lt;Q&gt;</v>
      </c>
      <c r="J42" s="154" t="str">
        <f>_xlfn.CONCAT(I42,H42)</f>
        <v>`FAST TRANSACTION (NET)&lt;Q&gt;</v>
      </c>
    </row>
    <row r="43" spans="1:10" x14ac:dyDescent="0.25">
      <c r="A43" s="161">
        <v>1016</v>
      </c>
      <c r="B43" s="163" t="s">
        <v>412</v>
      </c>
      <c r="C43" s="154" t="s">
        <v>16</v>
      </c>
      <c r="D43" s="154" t="s">
        <v>318</v>
      </c>
      <c r="F43" s="154" t="s">
        <v>326</v>
      </c>
      <c r="G43" s="154">
        <f>IF(A43="","",A43)</f>
        <v>1016</v>
      </c>
      <c r="H43" s="154" t="str">
        <f>_xlfn.CONCAT(D43,SUBSTITUTE(B43,"""","`"""),E43)</f>
        <v>`     Fast transaction</v>
      </c>
      <c r="I43" s="154" t="s">
        <v>520</v>
      </c>
      <c r="J43" s="154" t="str">
        <f>_xlfn.CONCAT(I43,H43)</f>
        <v>&lt;G2B&gt;&lt;G1P&gt;`     Fast transaction</v>
      </c>
    </row>
    <row r="44" spans="1:10" x14ac:dyDescent="0.25">
      <c r="A44" s="167">
        <v>1070</v>
      </c>
      <c r="B44" s="166" t="s">
        <v>1181</v>
      </c>
      <c r="C44" s="154" t="s">
        <v>16</v>
      </c>
      <c r="D44" s="154" t="s">
        <v>318</v>
      </c>
      <c r="F44" s="154" t="s">
        <v>326</v>
      </c>
      <c r="G44" s="154">
        <f>IF(A44="","",A44)</f>
        <v>1070</v>
      </c>
      <c r="H44" s="154" t="str">
        <f>_xlfn.CONCAT(D44,SUBSTITUTE(B44,"""","`"""),E44)</f>
        <v>`     Send money fast</v>
      </c>
      <c r="I44" s="154" t="s">
        <v>521</v>
      </c>
      <c r="J44" s="154" t="str">
        <f>_xlfn.CONCAT(I44,H44)</f>
        <v>&lt;G2E&gt;&lt;G1P&gt;`     Send money fast</v>
      </c>
    </row>
    <row r="45" spans="1:10" ht="15.75" x14ac:dyDescent="0.25">
      <c r="A45" s="161" t="s">
        <v>1516</v>
      </c>
      <c r="B45" s="155" t="s">
        <v>1182</v>
      </c>
      <c r="C45" s="154" t="s">
        <v>6</v>
      </c>
      <c r="D45" s="154" t="s">
        <v>323</v>
      </c>
      <c r="E45" s="154" t="s">
        <v>322</v>
      </c>
      <c r="F45" s="154" t="s">
        <v>327</v>
      </c>
      <c r="G45" s="154" t="str">
        <f>IF(A45="","",A45)</f>
        <v>1017+1033+1034+1076</v>
      </c>
      <c r="H45" s="154" t="str">
        <f>_xlfn.CONCAT(D45,SUBSTITUTE(B45,"""","`"""),E45)</f>
        <v>`EASE OF TRANSACTION (NET)&lt;Q&gt;</v>
      </c>
      <c r="J45" s="154" t="str">
        <f>_xlfn.CONCAT(I45,H45)</f>
        <v>`EASE OF TRANSACTION (NET)&lt;Q&gt;</v>
      </c>
    </row>
    <row r="46" spans="1:10" x14ac:dyDescent="0.25">
      <c r="A46" s="161">
        <v>1017</v>
      </c>
      <c r="B46" s="163" t="s">
        <v>1183</v>
      </c>
      <c r="C46" s="154" t="s">
        <v>16</v>
      </c>
      <c r="D46" s="154" t="s">
        <v>318</v>
      </c>
      <c r="F46" s="154" t="s">
        <v>326</v>
      </c>
      <c r="G46" s="154">
        <f>IF(A46="","",A46)</f>
        <v>1017</v>
      </c>
      <c r="H46" s="154" t="str">
        <f>_xlfn.CONCAT(D46,SUBSTITUTE(B46,"""","`"""),E46)</f>
        <v>`     For ease of transaction</v>
      </c>
      <c r="I46" s="154" t="s">
        <v>520</v>
      </c>
      <c r="J46" s="154" t="str">
        <f>_xlfn.CONCAT(I46,H46)</f>
        <v>&lt;G2B&gt;&lt;G1P&gt;`     For ease of transaction</v>
      </c>
    </row>
    <row r="47" spans="1:10" x14ac:dyDescent="0.25">
      <c r="A47" s="164">
        <v>1033</v>
      </c>
      <c r="B47" s="165" t="s">
        <v>494</v>
      </c>
      <c r="C47" s="154" t="s">
        <v>16</v>
      </c>
      <c r="D47" s="154" t="s">
        <v>318</v>
      </c>
      <c r="F47" s="154" t="s">
        <v>326</v>
      </c>
      <c r="G47" s="154">
        <f>IF(A47="","",A47)</f>
        <v>1033</v>
      </c>
      <c r="H47" s="154" t="str">
        <f>_xlfn.CONCAT(D47,SUBSTITUTE(B47,"""","`"""),E47)</f>
        <v>`     Easy to use</v>
      </c>
      <c r="I47" s="154" t="s">
        <v>522</v>
      </c>
      <c r="J47" s="154" t="str">
        <f>_xlfn.CONCAT(I47,H47)</f>
        <v>&lt;G1P&gt;`     Easy to use</v>
      </c>
    </row>
    <row r="48" spans="1:10" x14ac:dyDescent="0.25">
      <c r="A48" s="164">
        <v>1034</v>
      </c>
      <c r="B48" s="165" t="s">
        <v>730</v>
      </c>
      <c r="C48" s="154" t="s">
        <v>16</v>
      </c>
      <c r="D48" s="154" t="s">
        <v>318</v>
      </c>
      <c r="F48" s="154" t="s">
        <v>326</v>
      </c>
      <c r="G48" s="154">
        <f>IF(A48="","",A48)</f>
        <v>1034</v>
      </c>
      <c r="H48" s="154" t="str">
        <f>_xlfn.CONCAT(D48,SUBSTITUTE(B48,"""","`"""),E48)</f>
        <v>`     Convenient to use</v>
      </c>
      <c r="I48" s="154" t="s">
        <v>522</v>
      </c>
      <c r="J48" s="154" t="str">
        <f>_xlfn.CONCAT(I48,H48)</f>
        <v>&lt;G1P&gt;`     Convenient to use</v>
      </c>
    </row>
    <row r="49" spans="1:10" x14ac:dyDescent="0.25">
      <c r="A49" s="167">
        <v>1076</v>
      </c>
      <c r="B49" s="166" t="s">
        <v>1185</v>
      </c>
      <c r="C49" s="154" t="s">
        <v>16</v>
      </c>
      <c r="D49" s="154" t="s">
        <v>318</v>
      </c>
      <c r="F49" s="154" t="s">
        <v>326</v>
      </c>
      <c r="G49" s="154">
        <f>IF(A49="","",A49)</f>
        <v>1076</v>
      </c>
      <c r="H49" s="154" t="str">
        <f>_xlfn.CONCAT(D49,SUBSTITUTE(B49,"""","`"""),E49)</f>
        <v>`     Many transactions in gcash</v>
      </c>
      <c r="I49" s="154" t="s">
        <v>521</v>
      </c>
      <c r="J49" s="154" t="str">
        <f>_xlfn.CONCAT(I49,H49)</f>
        <v>&lt;G2E&gt;&lt;G1P&gt;`     Many transactions in gcash</v>
      </c>
    </row>
    <row r="50" spans="1:10" ht="15.75" x14ac:dyDescent="0.25">
      <c r="A50" s="161" t="s">
        <v>1517</v>
      </c>
      <c r="B50" s="155" t="s">
        <v>734</v>
      </c>
      <c r="C50" s="154" t="s">
        <v>6</v>
      </c>
      <c r="D50" s="154" t="s">
        <v>323</v>
      </c>
      <c r="E50" s="154" t="s">
        <v>322</v>
      </c>
      <c r="F50" s="154" t="s">
        <v>327</v>
      </c>
      <c r="G50" s="154" t="str">
        <f>IF(A50="","",A50)</f>
        <v>1018+1019+1020+1021+1071</v>
      </c>
      <c r="H50" s="154" t="str">
        <f>_xlfn.CONCAT(D50,SUBSTITUTE(B50,"""","`"""),E50)</f>
        <v>`GCASH IS RELIABLE (NET)&lt;Q&gt;</v>
      </c>
      <c r="J50" s="154" t="str">
        <f>_xlfn.CONCAT(I50,H50)</f>
        <v>`GCASH IS RELIABLE (NET)&lt;Q&gt;</v>
      </c>
    </row>
    <row r="51" spans="1:10" x14ac:dyDescent="0.25">
      <c r="A51" s="161">
        <v>1018</v>
      </c>
      <c r="B51" s="163" t="s">
        <v>1179</v>
      </c>
      <c r="C51" s="154" t="s">
        <v>16</v>
      </c>
      <c r="D51" s="154" t="s">
        <v>318</v>
      </c>
      <c r="F51" s="154" t="s">
        <v>326</v>
      </c>
      <c r="G51" s="154">
        <f>IF(A51="","",A51)</f>
        <v>1018</v>
      </c>
      <c r="H51" s="154" t="str">
        <f>_xlfn.CONCAT(D51,SUBSTITUTE(B51,"""","`"""),E51)</f>
        <v>`     Do not lose hope because GCash is reliable</v>
      </c>
      <c r="I51" s="154" t="s">
        <v>520</v>
      </c>
      <c r="J51" s="154" t="str">
        <f>_xlfn.CONCAT(I51,H51)</f>
        <v>&lt;G2B&gt;&lt;G1P&gt;`     Do not lose hope because GCash is reliable</v>
      </c>
    </row>
    <row r="52" spans="1:10" x14ac:dyDescent="0.25">
      <c r="A52" s="161">
        <v>1019</v>
      </c>
      <c r="B52" s="163" t="s">
        <v>1186</v>
      </c>
      <c r="C52" s="154" t="s">
        <v>16</v>
      </c>
      <c r="D52" s="154" t="s">
        <v>318</v>
      </c>
      <c r="F52" s="154" t="s">
        <v>326</v>
      </c>
      <c r="G52" s="154">
        <f>IF(A52="","",A52)</f>
        <v>1019</v>
      </c>
      <c r="H52" s="154" t="str">
        <f>_xlfn.CONCAT(D52,SUBSTITUTE(B52,"""","`"""),E52)</f>
        <v>`     GCash is reliable in times of need and emergencies</v>
      </c>
      <c r="I52" s="154" t="s">
        <v>522</v>
      </c>
      <c r="J52" s="154" t="str">
        <f>_xlfn.CONCAT(I52,H52)</f>
        <v>&lt;G1P&gt;`     GCash is reliable in times of need and emergencies</v>
      </c>
    </row>
    <row r="53" spans="1:10" x14ac:dyDescent="0.25">
      <c r="A53" s="161">
        <v>1020</v>
      </c>
      <c r="B53" s="163" t="s">
        <v>735</v>
      </c>
      <c r="C53" s="154" t="s">
        <v>16</v>
      </c>
      <c r="D53" s="154" t="s">
        <v>318</v>
      </c>
      <c r="F53" s="154" t="s">
        <v>326</v>
      </c>
      <c r="G53" s="154">
        <f>IF(A53="","",A53)</f>
        <v>1020</v>
      </c>
      <c r="H53" s="154" t="str">
        <f>_xlfn.CONCAT(D53,SUBSTITUTE(B53,"""","`"""),E53)</f>
        <v>`     GCash is reliable</v>
      </c>
      <c r="I53" s="154" t="s">
        <v>522</v>
      </c>
      <c r="J53" s="154" t="str">
        <f>_xlfn.CONCAT(I53,H53)</f>
        <v>&lt;G1P&gt;`     GCash is reliable</v>
      </c>
    </row>
    <row r="54" spans="1:10" x14ac:dyDescent="0.25">
      <c r="A54" s="161">
        <v>1021</v>
      </c>
      <c r="B54" s="163" t="s">
        <v>1187</v>
      </c>
      <c r="C54" s="154" t="s">
        <v>16</v>
      </c>
      <c r="D54" s="154" t="s">
        <v>318</v>
      </c>
      <c r="F54" s="154" t="s">
        <v>326</v>
      </c>
      <c r="G54" s="154">
        <f>IF(A54="","",A54)</f>
        <v>1021</v>
      </c>
      <c r="H54" s="154" t="str">
        <f>_xlfn.CONCAT(D54,SUBSTITUTE(B54,"""","`"""),E54)</f>
        <v>`     Do not give up, GCash is with you in your journey to success</v>
      </c>
      <c r="I54" s="154" t="s">
        <v>522</v>
      </c>
      <c r="J54" s="154" t="str">
        <f>_xlfn.CONCAT(I54,H54)</f>
        <v>&lt;G1P&gt;`     Do not give up, GCash is with you in your journey to success</v>
      </c>
    </row>
    <row r="55" spans="1:10" x14ac:dyDescent="0.25">
      <c r="A55" s="167">
        <v>1071</v>
      </c>
      <c r="B55" s="166" t="s">
        <v>1226</v>
      </c>
      <c r="C55" s="154" t="s">
        <v>16</v>
      </c>
      <c r="D55" s="154" t="s">
        <v>318</v>
      </c>
      <c r="F55" s="154" t="s">
        <v>326</v>
      </c>
      <c r="G55" s="154">
        <f>IF(A55="","",A55)</f>
        <v>1071</v>
      </c>
      <c r="H55" s="154" t="str">
        <f>_xlfn.CONCAT(D55,SUBSTITUTE(B55,"""","`"""),E55)</f>
        <v>`     It's easy to reach out for help with gcash</v>
      </c>
      <c r="I55" s="154" t="s">
        <v>521</v>
      </c>
      <c r="J55" s="154" t="str">
        <f>_xlfn.CONCAT(I55,H55)</f>
        <v>&lt;G2E&gt;&lt;G1P&gt;`     It's easy to reach out for help with gcash</v>
      </c>
    </row>
    <row r="56" spans="1:10" ht="15.75" x14ac:dyDescent="0.25">
      <c r="A56" s="161" t="s">
        <v>1518</v>
      </c>
      <c r="B56" s="155" t="s">
        <v>1188</v>
      </c>
      <c r="C56" s="154" t="s">
        <v>6</v>
      </c>
      <c r="D56" s="154" t="s">
        <v>323</v>
      </c>
      <c r="E56" s="154" t="s">
        <v>322</v>
      </c>
      <c r="F56" s="154" t="s">
        <v>327</v>
      </c>
      <c r="G56" s="154" t="str">
        <f>IF(A56="","",A56)</f>
        <v>1022+1023+1024+1025+1026+1043+1044+1057</v>
      </c>
      <c r="H56" s="154" t="str">
        <f>_xlfn.CONCAT(D56,SUBSTITUTE(B56,"""","`"""),E56)</f>
        <v>`RESILIENCE (NET)&lt;Q&gt;</v>
      </c>
      <c r="J56" s="154" t="str">
        <f>_xlfn.CONCAT(I56,H56)</f>
        <v>`RESILIENCE (NET)&lt;Q&gt;</v>
      </c>
    </row>
    <row r="57" spans="1:10" x14ac:dyDescent="0.25">
      <c r="A57" s="161">
        <v>1022</v>
      </c>
      <c r="B57" s="163" t="s">
        <v>1189</v>
      </c>
      <c r="C57" s="154" t="s">
        <v>16</v>
      </c>
      <c r="D57" s="154" t="s">
        <v>318</v>
      </c>
      <c r="F57" s="154" t="s">
        <v>326</v>
      </c>
      <c r="G57" s="154">
        <f>IF(A57="","",A57)</f>
        <v>1022</v>
      </c>
      <c r="H57" s="154" t="str">
        <f>_xlfn.CONCAT(D57,SUBSTITUTE(B57,"""","`"""),E57)</f>
        <v>`     Trust yourself that you can overcome any challenges</v>
      </c>
      <c r="I57" s="154" t="s">
        <v>520</v>
      </c>
      <c r="J57" s="154" t="str">
        <f>_xlfn.CONCAT(I57,H57)</f>
        <v>&lt;G2B&gt;&lt;G1P&gt;`     Trust yourself that you can overcome any challenges</v>
      </c>
    </row>
    <row r="58" spans="1:10" x14ac:dyDescent="0.25">
      <c r="A58" s="161">
        <v>1023</v>
      </c>
      <c r="B58" s="163" t="s">
        <v>1190</v>
      </c>
      <c r="C58" s="154" t="s">
        <v>16</v>
      </c>
      <c r="D58" s="154" t="s">
        <v>318</v>
      </c>
      <c r="F58" s="154" t="s">
        <v>326</v>
      </c>
      <c r="G58" s="154">
        <f>IF(A58="","",A58)</f>
        <v>1023</v>
      </c>
      <c r="H58" s="154" t="str">
        <f>_xlfn.CONCAT(D58,SUBSTITUTE(B58,"""","`"""),E58)</f>
        <v>`     Gives inspiration to the youth not to give up on their dreams</v>
      </c>
      <c r="I58" s="154" t="s">
        <v>522</v>
      </c>
      <c r="J58" s="154" t="str">
        <f>_xlfn.CONCAT(I58,H58)</f>
        <v>&lt;G1P&gt;`     Gives inspiration to the youth not to give up on their dreams</v>
      </c>
    </row>
    <row r="59" spans="1:10" x14ac:dyDescent="0.25">
      <c r="A59" s="161">
        <v>1024</v>
      </c>
      <c r="B59" s="163" t="s">
        <v>1191</v>
      </c>
      <c r="C59" s="154" t="s">
        <v>16</v>
      </c>
      <c r="D59" s="154" t="s">
        <v>318</v>
      </c>
      <c r="F59" s="154" t="s">
        <v>326</v>
      </c>
      <c r="G59" s="154">
        <f>IF(A59="","",A59)</f>
        <v>1024</v>
      </c>
      <c r="H59" s="154" t="str">
        <f>_xlfn.CONCAT(D59,SUBSTITUTE(B59,"""","`"""),E59)</f>
        <v>`     Do not give up</v>
      </c>
      <c r="I59" s="154" t="s">
        <v>522</v>
      </c>
      <c r="J59" s="154" t="str">
        <f>_xlfn.CONCAT(I59,H59)</f>
        <v>&lt;G1P&gt;`     Do not give up</v>
      </c>
    </row>
    <row r="60" spans="1:10" x14ac:dyDescent="0.25">
      <c r="A60" s="161">
        <v>1025</v>
      </c>
      <c r="B60" s="163" t="s">
        <v>1192</v>
      </c>
      <c r="C60" s="154" t="s">
        <v>16</v>
      </c>
      <c r="D60" s="154" t="s">
        <v>318</v>
      </c>
      <c r="F60" s="154" t="s">
        <v>326</v>
      </c>
      <c r="G60" s="154">
        <f>IF(A60="","",A60)</f>
        <v>1025</v>
      </c>
      <c r="H60" s="154" t="str">
        <f>_xlfn.CONCAT(D60,SUBSTITUTE(B60,"""","`"""),E60)</f>
        <v>`     Disability is not a barrier for success</v>
      </c>
      <c r="I60" s="154" t="s">
        <v>522</v>
      </c>
      <c r="J60" s="154" t="str">
        <f>_xlfn.CONCAT(I60,H60)</f>
        <v>&lt;G1P&gt;`     Disability is not a barrier for success</v>
      </c>
    </row>
    <row r="61" spans="1:10" x14ac:dyDescent="0.25">
      <c r="A61" s="161">
        <v>1026</v>
      </c>
      <c r="B61" s="163" t="s">
        <v>1187</v>
      </c>
      <c r="C61" s="154" t="s">
        <v>16</v>
      </c>
      <c r="D61" s="154" t="s">
        <v>318</v>
      </c>
      <c r="F61" s="154" t="s">
        <v>326</v>
      </c>
      <c r="G61" s="154">
        <f>IF(A61="","",A61)</f>
        <v>1026</v>
      </c>
      <c r="H61" s="154" t="str">
        <f>_xlfn.CONCAT(D61,SUBSTITUTE(B61,"""","`"""),E61)</f>
        <v>`     Do not give up, GCash is with you in your journey to success</v>
      </c>
      <c r="I61" s="154" t="s">
        <v>522</v>
      </c>
      <c r="J61" s="154" t="str">
        <f>_xlfn.CONCAT(I61,H61)</f>
        <v>&lt;G1P&gt;`     Do not give up, GCash is with you in your journey to success</v>
      </c>
    </row>
    <row r="62" spans="1:10" x14ac:dyDescent="0.25">
      <c r="A62" s="167">
        <v>1043</v>
      </c>
      <c r="B62" s="166" t="s">
        <v>1211</v>
      </c>
      <c r="C62" s="154" t="s">
        <v>16</v>
      </c>
      <c r="D62" s="154" t="s">
        <v>318</v>
      </c>
      <c r="F62" s="154" t="s">
        <v>326</v>
      </c>
      <c r="G62" s="154">
        <f>IF(A62="","",A62)</f>
        <v>1043</v>
      </c>
      <c r="H62" s="154" t="str">
        <f>_xlfn.CONCAT(D62,SUBSTITUTE(B62,"""","`"""),E62)</f>
        <v>`     Courage</v>
      </c>
      <c r="I62" s="154" t="s">
        <v>522</v>
      </c>
      <c r="J62" s="154" t="str">
        <f>_xlfn.CONCAT(I62,H62)</f>
        <v>&lt;G1P&gt;`     Courage</v>
      </c>
    </row>
    <row r="63" spans="1:10" x14ac:dyDescent="0.25">
      <c r="A63" s="167">
        <v>1044</v>
      </c>
      <c r="B63" s="166" t="s">
        <v>1212</v>
      </c>
      <c r="C63" s="154" t="s">
        <v>16</v>
      </c>
      <c r="D63" s="154" t="s">
        <v>318</v>
      </c>
      <c r="F63" s="154" t="s">
        <v>326</v>
      </c>
      <c r="G63" s="154">
        <f>IF(A63="","",A63)</f>
        <v>1044</v>
      </c>
      <c r="H63" s="154" t="str">
        <f>_xlfn.CONCAT(D63,SUBSTITUTE(B63,"""","`"""),E63)</f>
        <v>`     Self determination</v>
      </c>
      <c r="I63" s="154" t="s">
        <v>522</v>
      </c>
      <c r="J63" s="154" t="str">
        <f>_xlfn.CONCAT(I63,H63)</f>
        <v>&lt;G1P&gt;`     Self determination</v>
      </c>
    </row>
    <row r="64" spans="1:10" x14ac:dyDescent="0.25">
      <c r="A64" s="167">
        <v>1057</v>
      </c>
      <c r="B64" s="166" t="s">
        <v>1218</v>
      </c>
      <c r="C64" s="154" t="s">
        <v>16</v>
      </c>
      <c r="D64" s="154" t="s">
        <v>318</v>
      </c>
      <c r="F64" s="154" t="s">
        <v>326</v>
      </c>
      <c r="G64" s="154">
        <f>IF(A64="","",A64)</f>
        <v>1057</v>
      </c>
      <c r="H64" s="154" t="str">
        <f>_xlfn.CONCAT(D64,SUBSTITUTE(B64,"""","`"""),E64)</f>
        <v>`     You can do it whatever it is</v>
      </c>
      <c r="I64" s="154" t="s">
        <v>521</v>
      </c>
      <c r="J64" s="154" t="str">
        <f>_xlfn.CONCAT(I64,H64)</f>
        <v>&lt;G2E&gt;&lt;G1P&gt;`     You can do it whatever it is</v>
      </c>
    </row>
    <row r="65" spans="1:10" ht="15.75" x14ac:dyDescent="0.25">
      <c r="A65" s="161" t="s">
        <v>1519</v>
      </c>
      <c r="B65" s="155" t="s">
        <v>1193</v>
      </c>
      <c r="C65" s="154" t="s">
        <v>6</v>
      </c>
      <c r="D65" s="154" t="s">
        <v>323</v>
      </c>
      <c r="E65" s="154" t="s">
        <v>322</v>
      </c>
      <c r="F65" s="154" t="s">
        <v>327</v>
      </c>
      <c r="G65" s="154" t="str">
        <f>IF(A65="","",A65)</f>
        <v>1027+1028+1052+1061+1062+1063+1065+1041+1045+1077+1067+1088+1079+1090</v>
      </c>
      <c r="H65" s="154" t="str">
        <f>_xlfn.CONCAT(D65,SUBSTITUTE(B65,"""","`"""),E65)</f>
        <v>`EMPOWERMENT/ INSPIRATION (NET)&lt;Q&gt;</v>
      </c>
      <c r="J65" s="154" t="str">
        <f>_xlfn.CONCAT(I65,H65)</f>
        <v>`EMPOWERMENT/ INSPIRATION (NET)&lt;Q&gt;</v>
      </c>
    </row>
    <row r="66" spans="1:10" x14ac:dyDescent="0.25">
      <c r="A66" s="161">
        <v>1027</v>
      </c>
      <c r="B66" s="163" t="s">
        <v>1190</v>
      </c>
      <c r="C66" s="154" t="s">
        <v>16</v>
      </c>
      <c r="D66" s="154" t="s">
        <v>318</v>
      </c>
      <c r="F66" s="154" t="s">
        <v>326</v>
      </c>
      <c r="G66" s="154">
        <f>IF(A66="","",A66)</f>
        <v>1027</v>
      </c>
      <c r="H66" s="154" t="str">
        <f>_xlfn.CONCAT(D66,SUBSTITUTE(B66,"""","`"""),E66)</f>
        <v>`     Gives inspiration to the youth not to give up on their dreams</v>
      </c>
      <c r="I66" s="154" t="s">
        <v>520</v>
      </c>
      <c r="J66" s="154" t="str">
        <f>_xlfn.CONCAT(I66,H66)</f>
        <v>&lt;G2B&gt;&lt;G1P&gt;`     Gives inspiration to the youth not to give up on their dreams</v>
      </c>
    </row>
    <row r="67" spans="1:10" x14ac:dyDescent="0.25">
      <c r="A67" s="161">
        <v>1028</v>
      </c>
      <c r="B67" s="163" t="s">
        <v>1194</v>
      </c>
      <c r="C67" s="154" t="s">
        <v>16</v>
      </c>
      <c r="D67" s="154" t="s">
        <v>318</v>
      </c>
      <c r="F67" s="154" t="s">
        <v>326</v>
      </c>
      <c r="G67" s="154">
        <f>IF(A67="","",A67)</f>
        <v>1028</v>
      </c>
      <c r="H67" s="154" t="str">
        <f>_xlfn.CONCAT(D67,SUBSTITUTE(B67,"""","`"""),E67)</f>
        <v>`     Gives inspiration to all those with disabilities</v>
      </c>
      <c r="I67" s="154" t="s">
        <v>522</v>
      </c>
      <c r="J67" s="154" t="str">
        <f>_xlfn.CONCAT(I67,H67)</f>
        <v>&lt;G1P&gt;`     Gives inspiration to all those with disabilities</v>
      </c>
    </row>
    <row r="68" spans="1:10" x14ac:dyDescent="0.25">
      <c r="A68" s="167">
        <v>1052</v>
      </c>
      <c r="B68" s="166" t="s">
        <v>1195</v>
      </c>
      <c r="C68" s="154" t="s">
        <v>16</v>
      </c>
      <c r="D68" s="154" t="s">
        <v>318</v>
      </c>
      <c r="F68" s="154" t="s">
        <v>326</v>
      </c>
      <c r="G68" s="154">
        <f>IF(A68="","",A68)</f>
        <v>1052</v>
      </c>
      <c r="H68" s="154" t="str">
        <f>_xlfn.CONCAT(D68,SUBSTITUTE(B68,"""","`"""),E68)</f>
        <v>`     Gcash is supporting people with dissability</v>
      </c>
      <c r="I68" s="154" t="s">
        <v>522</v>
      </c>
      <c r="J68" s="154" t="str">
        <f>_xlfn.CONCAT(I68,H68)</f>
        <v>&lt;G1P&gt;`     Gcash is supporting people with dissability</v>
      </c>
    </row>
    <row r="69" spans="1:10" x14ac:dyDescent="0.25">
      <c r="A69" s="167">
        <v>1061</v>
      </c>
      <c r="B69" s="166" t="s">
        <v>1196</v>
      </c>
      <c r="C69" s="154" t="s">
        <v>16</v>
      </c>
      <c r="D69" s="154" t="s">
        <v>318</v>
      </c>
      <c r="F69" s="154" t="s">
        <v>326</v>
      </c>
      <c r="G69" s="154">
        <f>IF(A69="","",A69)</f>
        <v>1061</v>
      </c>
      <c r="H69" s="154" t="str">
        <f>_xlfn.CONCAT(D69,SUBSTITUTE(B69,"""","`"""),E69)</f>
        <v>`     Even with a disability he was able to follow and bring joy and happiness to people</v>
      </c>
      <c r="I69" s="154" t="s">
        <v>522</v>
      </c>
      <c r="J69" s="154" t="str">
        <f>_xlfn.CONCAT(I69,H69)</f>
        <v>&lt;G1P&gt;`     Even with a disability he was able to follow and bring joy and happiness to people</v>
      </c>
    </row>
    <row r="70" spans="1:10" x14ac:dyDescent="0.25">
      <c r="A70" s="167">
        <v>1062</v>
      </c>
      <c r="B70" s="166" t="s">
        <v>1197</v>
      </c>
      <c r="C70" s="154" t="s">
        <v>16</v>
      </c>
      <c r="D70" s="154" t="s">
        <v>318</v>
      </c>
      <c r="F70" s="154" t="s">
        <v>326</v>
      </c>
      <c r="G70" s="154">
        <f>IF(A70="","",A70)</f>
        <v>1062</v>
      </c>
      <c r="H70" s="154" t="str">
        <f>_xlfn.CONCAT(D70,SUBSTITUTE(B70,"""","`"""),E70)</f>
        <v>`     Even with disabilities they help</v>
      </c>
      <c r="I70" s="154" t="s">
        <v>522</v>
      </c>
      <c r="J70" s="154" t="str">
        <f>_xlfn.CONCAT(I70,H70)</f>
        <v>&lt;G1P&gt;`     Even with disabilities they help</v>
      </c>
    </row>
    <row r="71" spans="1:10" x14ac:dyDescent="0.25">
      <c r="A71" s="167">
        <v>1063</v>
      </c>
      <c r="B71" s="166" t="s">
        <v>1198</v>
      </c>
      <c r="C71" s="154" t="s">
        <v>16</v>
      </c>
      <c r="D71" s="154" t="s">
        <v>318</v>
      </c>
      <c r="F71" s="154" t="s">
        <v>326</v>
      </c>
      <c r="G71" s="154">
        <f>IF(A71="","",A71)</f>
        <v>1063</v>
      </c>
      <c r="H71" s="154" t="str">
        <f>_xlfn.CONCAT(D71,SUBSTITUTE(B71,"""","`"""),E71)</f>
        <v>`     Even with disabilities they can win</v>
      </c>
      <c r="I71" s="154" t="s">
        <v>522</v>
      </c>
      <c r="J71" s="154" t="str">
        <f>_xlfn.CONCAT(I71,H71)</f>
        <v>&lt;G1P&gt;`     Even with disabilities they can win</v>
      </c>
    </row>
    <row r="72" spans="1:10" x14ac:dyDescent="0.25">
      <c r="A72" s="167">
        <v>1065</v>
      </c>
      <c r="B72" s="166" t="s">
        <v>1199</v>
      </c>
      <c r="C72" s="154" t="s">
        <v>16</v>
      </c>
      <c r="D72" s="154" t="s">
        <v>318</v>
      </c>
      <c r="F72" s="154" t="s">
        <v>326</v>
      </c>
      <c r="G72" s="154">
        <f>IF(A72="","",A72)</f>
        <v>1065</v>
      </c>
      <c r="H72" s="154" t="str">
        <f>_xlfn.CONCAT(D72,SUBSTITUTE(B72,"""","`"""),E72)</f>
        <v>`     Even with disabilities nothing imposible</v>
      </c>
      <c r="I72" s="154" t="s">
        <v>522</v>
      </c>
      <c r="J72" s="154" t="str">
        <f>_xlfn.CONCAT(I72,H72)</f>
        <v>&lt;G1P&gt;`     Even with disabilities nothing imposible</v>
      </c>
    </row>
    <row r="73" spans="1:10" x14ac:dyDescent="0.25">
      <c r="A73" s="167">
        <v>1041</v>
      </c>
      <c r="B73" s="166" t="s">
        <v>1209</v>
      </c>
      <c r="C73" s="154" t="s">
        <v>16</v>
      </c>
      <c r="D73" s="154" t="s">
        <v>318</v>
      </c>
      <c r="F73" s="154" t="s">
        <v>326</v>
      </c>
      <c r="G73" s="154">
        <f>IF(A73="","",A73)</f>
        <v>1041</v>
      </c>
      <c r="H73" s="154" t="str">
        <f>_xlfn.CONCAT(D73,SUBSTITUTE(B73,"""","`"""),E73)</f>
        <v>`     Gcash helps people who need help</v>
      </c>
      <c r="I73" s="154" t="s">
        <v>522</v>
      </c>
      <c r="J73" s="154" t="str">
        <f>_xlfn.CONCAT(I73,H73)</f>
        <v>&lt;G1P&gt;`     Gcash helps people who need help</v>
      </c>
    </row>
    <row r="74" spans="1:10" x14ac:dyDescent="0.25">
      <c r="A74" s="167">
        <v>1045</v>
      </c>
      <c r="B74" s="166" t="s">
        <v>1213</v>
      </c>
      <c r="C74" s="154" t="s">
        <v>16</v>
      </c>
      <c r="D74" s="154" t="s">
        <v>318</v>
      </c>
      <c r="F74" s="154" t="s">
        <v>326</v>
      </c>
      <c r="G74" s="154">
        <f>IF(A74="","",A74)</f>
        <v>1045</v>
      </c>
      <c r="H74" s="154" t="str">
        <f>_xlfn.CONCAT(D74,SUBSTITUTE(B74,"""","`"""),E74)</f>
        <v>`     Gcash helped a lot</v>
      </c>
      <c r="I74" s="154" t="s">
        <v>522</v>
      </c>
      <c r="J74" s="154" t="str">
        <f>_xlfn.CONCAT(I74,H74)</f>
        <v>&lt;G1P&gt;`     Gcash helped a lot</v>
      </c>
    </row>
    <row r="75" spans="1:10" x14ac:dyDescent="0.25">
      <c r="A75" s="167">
        <v>1077</v>
      </c>
      <c r="B75" s="166" t="s">
        <v>1231</v>
      </c>
      <c r="C75" s="154" t="s">
        <v>16</v>
      </c>
      <c r="D75" s="154" t="s">
        <v>318</v>
      </c>
      <c r="F75" s="154" t="s">
        <v>326</v>
      </c>
      <c r="G75" s="154">
        <f>IF(A75="","",A75)</f>
        <v>1077</v>
      </c>
      <c r="H75" s="154" t="str">
        <f>_xlfn.CONCAT(D75,SUBSTITUTE(B75,"""","`"""),E75)</f>
        <v>`     Gcash help with people with dissabilities</v>
      </c>
      <c r="I75" s="154" t="s">
        <v>522</v>
      </c>
      <c r="J75" s="154" t="str">
        <f>_xlfn.CONCAT(I75,H75)</f>
        <v>&lt;G1P&gt;`     Gcash help with people with dissabilities</v>
      </c>
    </row>
    <row r="76" spans="1:10" x14ac:dyDescent="0.25">
      <c r="A76" s="167">
        <v>1067</v>
      </c>
      <c r="B76" s="166" t="s">
        <v>1223</v>
      </c>
      <c r="C76" s="154" t="s">
        <v>16</v>
      </c>
      <c r="D76" s="154" t="s">
        <v>318</v>
      </c>
      <c r="F76" s="154" t="s">
        <v>326</v>
      </c>
      <c r="G76" s="154">
        <f>IF(A76="","",A76)</f>
        <v>1067</v>
      </c>
      <c r="H76" s="154" t="str">
        <f>_xlfn.CONCAT(D76,SUBSTITUTE(B76,"""","`"""),E76)</f>
        <v>`     Fight for the future using c gcash</v>
      </c>
      <c r="I76" s="154" t="s">
        <v>522</v>
      </c>
      <c r="J76" s="154" t="str">
        <f>_xlfn.CONCAT(I76,H76)</f>
        <v>&lt;G1P&gt;`     Fight for the future using c gcash</v>
      </c>
    </row>
    <row r="77" spans="1:10" x14ac:dyDescent="0.25">
      <c r="A77" s="167">
        <v>1088</v>
      </c>
      <c r="B77" s="168" t="s">
        <v>1242</v>
      </c>
      <c r="C77" s="154" t="s">
        <v>16</v>
      </c>
      <c r="D77" s="154" t="s">
        <v>318</v>
      </c>
      <c r="F77" s="154" t="s">
        <v>326</v>
      </c>
      <c r="G77" s="154">
        <f>IF(A77="","",A77)</f>
        <v>1088</v>
      </c>
      <c r="H77" s="154" t="str">
        <f>_xlfn.CONCAT(D77,SUBSTITUTE(B77,"""","`"""),E77)</f>
        <v>`     Use Gcash to help those more in need</v>
      </c>
      <c r="I77" s="154" t="s">
        <v>522</v>
      </c>
      <c r="J77" s="154" t="str">
        <f>_xlfn.CONCAT(I77,H77)</f>
        <v>&lt;G1P&gt;`     Use Gcash to help those more in need</v>
      </c>
    </row>
    <row r="78" spans="1:10" x14ac:dyDescent="0.25">
      <c r="A78" s="167">
        <v>1079</v>
      </c>
      <c r="B78" s="166" t="s">
        <v>1233</v>
      </c>
      <c r="C78" s="154" t="s">
        <v>16</v>
      </c>
      <c r="D78" s="154" t="s">
        <v>318</v>
      </c>
      <c r="F78" s="154" t="s">
        <v>326</v>
      </c>
      <c r="G78" s="154">
        <f>IF(A78="","",A78)</f>
        <v>1079</v>
      </c>
      <c r="H78" s="154" t="str">
        <f>_xlfn.CONCAT(D78,SUBSTITUTE(B78,"""","`"""),E78)</f>
        <v>`     Unity and cooperation</v>
      </c>
      <c r="I78" s="154" t="s">
        <v>522</v>
      </c>
      <c r="J78" s="154" t="str">
        <f>_xlfn.CONCAT(I78,H78)</f>
        <v>&lt;G1P&gt;`     Unity and cooperation</v>
      </c>
    </row>
    <row r="79" spans="1:10" x14ac:dyDescent="0.25">
      <c r="A79" s="167">
        <v>1090</v>
      </c>
      <c r="B79" s="168" t="s">
        <v>1243</v>
      </c>
      <c r="C79" s="154" t="s">
        <v>16</v>
      </c>
      <c r="D79" s="154" t="s">
        <v>318</v>
      </c>
      <c r="F79" s="154" t="s">
        <v>326</v>
      </c>
      <c r="G79" s="154">
        <f>IF(A79="","",A79)</f>
        <v>1090</v>
      </c>
      <c r="H79" s="154" t="str">
        <f>_xlfn.CONCAT(D79,SUBSTITUTE(B79,"""","`"""),E79)</f>
        <v>`     Which can be done in a way with proper unity</v>
      </c>
      <c r="I79" s="154" t="s">
        <v>521</v>
      </c>
      <c r="J79" s="154" t="str">
        <f>_xlfn.CONCAT(I79,H79)</f>
        <v>&lt;G2E&gt;&lt;G1P&gt;`     Which can be done in a way with proper unity</v>
      </c>
    </row>
    <row r="80" spans="1:10" ht="15.75" x14ac:dyDescent="0.25">
      <c r="A80" s="161">
        <v>1091</v>
      </c>
      <c r="B80" s="155" t="s">
        <v>1200</v>
      </c>
      <c r="C80" s="154" t="s">
        <v>6</v>
      </c>
      <c r="D80" s="154" t="s">
        <v>323</v>
      </c>
      <c r="E80" s="154" t="s">
        <v>322</v>
      </c>
      <c r="F80" s="154" t="s">
        <v>327</v>
      </c>
      <c r="G80" s="154">
        <f>IF(A80="","",A80)</f>
        <v>1091</v>
      </c>
      <c r="H80" s="154" t="str">
        <f>_xlfn.CONCAT(D80,SUBSTITUTE(B80,"""","`"""),E80)</f>
        <v>`SEND ONLINE (NET)&lt;Q&gt;</v>
      </c>
      <c r="J80" s="154" t="str">
        <f>_xlfn.CONCAT(I80,H80)</f>
        <v>`SEND ONLINE (NET)&lt;Q&gt;</v>
      </c>
    </row>
    <row r="81" spans="1:10" x14ac:dyDescent="0.25">
      <c r="A81" s="167">
        <v>1091</v>
      </c>
      <c r="B81" s="166" t="s">
        <v>1201</v>
      </c>
      <c r="C81" s="154" t="s">
        <v>16</v>
      </c>
      <c r="D81" s="154" t="s">
        <v>318</v>
      </c>
      <c r="F81" s="154" t="s">
        <v>326</v>
      </c>
      <c r="G81" s="154">
        <f>IF(A81="","",A81)</f>
        <v>1091</v>
      </c>
      <c r="H81" s="154" t="str">
        <f>_xlfn.CONCAT(D81,SUBSTITUTE(B81,"""","`"""),E81)</f>
        <v>`     Can send online</v>
      </c>
      <c r="I81" s="154" t="s">
        <v>522</v>
      </c>
      <c r="J81" s="154" t="str">
        <f>_xlfn.CONCAT(I81,H81)</f>
        <v>&lt;G1P&gt;`     Can send online</v>
      </c>
    </row>
    <row r="82" spans="1:10" ht="15.75" x14ac:dyDescent="0.25">
      <c r="A82" s="161" t="s">
        <v>1520</v>
      </c>
      <c r="B82" s="155" t="s">
        <v>1508</v>
      </c>
      <c r="C82" s="154" t="s">
        <v>6</v>
      </c>
      <c r="D82" s="154" t="s">
        <v>323</v>
      </c>
      <c r="E82" s="154" t="s">
        <v>322</v>
      </c>
      <c r="F82" s="154" t="s">
        <v>327</v>
      </c>
      <c r="G82" s="154" t="str">
        <f>IF(A82="","",A82)</f>
        <v>1066+1084</v>
      </c>
      <c r="H82" s="154" t="str">
        <f>_xlfn.CONCAT(D82,SUBSTITUTE(B82,"""","`"""),E82)</f>
        <v>`PINOY ATHLETES WITH DISABILITIES (NET)&lt;Q&gt;</v>
      </c>
      <c r="J82" s="154" t="str">
        <f>_xlfn.CONCAT(I82,H82)</f>
        <v>`PINOY ATHLETES WITH DISABILITIES (NET)&lt;Q&gt;</v>
      </c>
    </row>
    <row r="83" spans="1:10" x14ac:dyDescent="0.25">
      <c r="A83" s="167">
        <v>1066</v>
      </c>
      <c r="B83" s="166" t="s">
        <v>1222</v>
      </c>
      <c r="C83" s="154" t="s">
        <v>16</v>
      </c>
      <c r="D83" s="154" t="s">
        <v>318</v>
      </c>
      <c r="F83" s="154" t="s">
        <v>326</v>
      </c>
      <c r="G83" s="154">
        <f>IF(A83="","",A83)</f>
        <v>1066</v>
      </c>
      <c r="H83" s="154" t="str">
        <f>_xlfn.CONCAT(D83,SUBSTITUTE(B83,"""","`"""),E83)</f>
        <v>`     PWD's story</v>
      </c>
      <c r="I83" s="154" t="s">
        <v>520</v>
      </c>
      <c r="J83" s="154" t="str">
        <f>_xlfn.CONCAT(I83,H83)</f>
        <v>&lt;G2B&gt;&lt;G1P&gt;`     PWD's story</v>
      </c>
    </row>
    <row r="84" spans="1:10" x14ac:dyDescent="0.25">
      <c r="A84" s="167">
        <v>1084</v>
      </c>
      <c r="B84" s="166" t="s">
        <v>1238</v>
      </c>
      <c r="C84" s="154" t="s">
        <v>16</v>
      </c>
      <c r="D84" s="154" t="s">
        <v>318</v>
      </c>
      <c r="F84" s="154" t="s">
        <v>326</v>
      </c>
      <c r="G84" s="154">
        <f>IF(A84="","",A84)</f>
        <v>1084</v>
      </c>
      <c r="H84" s="154" t="str">
        <f>_xlfn.CONCAT(D84,SUBSTITUTE(B84,"""","`"""),E84)</f>
        <v>`     You can help using gcash</v>
      </c>
      <c r="I84" s="154" t="s">
        <v>521</v>
      </c>
      <c r="J84" s="154" t="str">
        <f>_xlfn.CONCAT(I84,H84)</f>
        <v>&lt;G2E&gt;&lt;G1P&gt;`     You can help using gcash</v>
      </c>
    </row>
    <row r="85" spans="1:10" ht="15.75" x14ac:dyDescent="0.25">
      <c r="A85" s="161">
        <v>1068</v>
      </c>
      <c r="B85" s="155" t="s">
        <v>1509</v>
      </c>
      <c r="C85" s="154" t="s">
        <v>6</v>
      </c>
      <c r="D85" s="154" t="s">
        <v>323</v>
      </c>
      <c r="E85" s="154" t="s">
        <v>322</v>
      </c>
      <c r="F85" s="154" t="s">
        <v>327</v>
      </c>
      <c r="G85" s="154">
        <f>IF(A85="","",A85)</f>
        <v>1068</v>
      </c>
      <c r="H85" s="154" t="str">
        <f>_xlfn.CONCAT(D85,SUBSTITUTE(B85,"""","`"""),E85)</f>
        <v>`CAN DO ANY TRANSACTIONS WITH GCASH (NET)&lt;Q&gt;</v>
      </c>
      <c r="J85" s="154" t="str">
        <f>_xlfn.CONCAT(I85,H85)</f>
        <v>`CAN DO ANY TRANSACTIONS WITH GCASH (NET)&lt;Q&gt;</v>
      </c>
    </row>
    <row r="86" spans="1:10" x14ac:dyDescent="0.25">
      <c r="A86" s="167">
        <v>1068</v>
      </c>
      <c r="B86" s="166" t="s">
        <v>1224</v>
      </c>
      <c r="C86" s="154" t="s">
        <v>16</v>
      </c>
      <c r="D86" s="154" t="s">
        <v>318</v>
      </c>
      <c r="F86" s="154" t="s">
        <v>326</v>
      </c>
      <c r="G86" s="154">
        <f>IF(A86="","",A86)</f>
        <v>1068</v>
      </c>
      <c r="H86" s="154" t="str">
        <f>_xlfn.CONCAT(D86,SUBSTITUTE(B86,"""","`"""),E86)</f>
        <v>`     Everything is in gcash</v>
      </c>
      <c r="I86" s="154" t="s">
        <v>522</v>
      </c>
      <c r="J86" s="154" t="str">
        <f>_xlfn.CONCAT(I86,H86)</f>
        <v>&lt;G1P&gt;`     Everything is in gcash</v>
      </c>
    </row>
    <row r="87" spans="1:10" ht="15.75" x14ac:dyDescent="0.25">
      <c r="A87" s="161">
        <v>1078</v>
      </c>
      <c r="B87" s="155" t="s">
        <v>1510</v>
      </c>
      <c r="C87" s="154" t="s">
        <v>6</v>
      </c>
      <c r="D87" s="154" t="s">
        <v>323</v>
      </c>
      <c r="E87" s="154" t="s">
        <v>322</v>
      </c>
      <c r="F87" s="154" t="s">
        <v>327</v>
      </c>
      <c r="G87" s="154">
        <f>IF(A87="","",A87)</f>
        <v>1078</v>
      </c>
      <c r="H87" s="154" t="str">
        <f>_xlfn.CONCAT(D87,SUBSTITUTE(B87,"""","`"""),E87)</f>
        <v>`CONVENIENCE IN USING GCASH (NET)&lt;Q&gt;</v>
      </c>
      <c r="J87" s="154" t="str">
        <f>_xlfn.CONCAT(I87,H87)</f>
        <v>`CONVENIENCE IN USING GCASH (NET)&lt;Q&gt;</v>
      </c>
    </row>
    <row r="88" spans="1:10" x14ac:dyDescent="0.25">
      <c r="A88" s="167">
        <v>1078</v>
      </c>
      <c r="B88" s="166" t="s">
        <v>1232</v>
      </c>
      <c r="C88" s="154" t="s">
        <v>16</v>
      </c>
      <c r="D88" s="154" t="s">
        <v>318</v>
      </c>
      <c r="F88" s="154" t="s">
        <v>326</v>
      </c>
      <c r="G88" s="154">
        <f>IF(A88="","",A88)</f>
        <v>1078</v>
      </c>
      <c r="H88" s="154" t="str">
        <f>_xlfn.CONCAT(D88,SUBSTITUTE(B88,"""","`"""),E88)</f>
        <v>`     No need to get outside if you have gcash</v>
      </c>
      <c r="I88" s="154" t="s">
        <v>522</v>
      </c>
      <c r="J88" s="154" t="str">
        <f>_xlfn.CONCAT(I88,H88)</f>
        <v>&lt;G1P&gt;`     No need to get outside if you have gcash</v>
      </c>
    </row>
    <row r="89" spans="1:10" ht="15.75" x14ac:dyDescent="0.25">
      <c r="A89" s="161">
        <v>1074</v>
      </c>
      <c r="B89" s="155" t="s">
        <v>772</v>
      </c>
      <c r="C89" s="154" t="s">
        <v>6</v>
      </c>
      <c r="D89" s="154" t="s">
        <v>323</v>
      </c>
      <c r="E89" s="154" t="s">
        <v>322</v>
      </c>
      <c r="F89" s="154" t="s">
        <v>327</v>
      </c>
      <c r="G89" s="154">
        <f>IF(A89="","",A89)</f>
        <v>1074</v>
      </c>
      <c r="H89" s="154" t="str">
        <f>_xlfn.CONCAT(D89,SUBSTITUTE(B89,"""","`"""),E89)</f>
        <v>`TRUST (NET)&lt;Q&gt;</v>
      </c>
      <c r="J89" s="154" t="str">
        <f>_xlfn.CONCAT(I89,H89)</f>
        <v>`TRUST (NET)&lt;Q&gt;</v>
      </c>
    </row>
    <row r="90" spans="1:10" x14ac:dyDescent="0.25">
      <c r="A90" s="167">
        <v>1074</v>
      </c>
      <c r="B90" s="166" t="s">
        <v>1229</v>
      </c>
      <c r="C90" s="154" t="s">
        <v>16</v>
      </c>
      <c r="D90" s="154" t="s">
        <v>318</v>
      </c>
      <c r="F90" s="154" t="s">
        <v>326</v>
      </c>
      <c r="G90" s="154">
        <f>IF(A90="","",A90)</f>
        <v>1074</v>
      </c>
      <c r="H90" s="154" t="str">
        <f>_xlfn.CONCAT(D90,SUBSTITUTE(B90,"""","`"""),E90)</f>
        <v>`     Just trust gcash</v>
      </c>
      <c r="I90" s="154" t="s">
        <v>522</v>
      </c>
      <c r="J90" s="154" t="str">
        <f>_xlfn.CONCAT(I90,H90)</f>
        <v>&lt;G1P&gt;`     Just trust gcash</v>
      </c>
    </row>
    <row r="91" spans="1:10" ht="15.75" x14ac:dyDescent="0.25">
      <c r="A91" s="161">
        <v>1086</v>
      </c>
      <c r="B91" s="155" t="s">
        <v>1511</v>
      </c>
      <c r="C91" s="154" t="s">
        <v>6</v>
      </c>
      <c r="D91" s="154" t="s">
        <v>323</v>
      </c>
      <c r="E91" s="154" t="s">
        <v>322</v>
      </c>
      <c r="F91" s="154" t="s">
        <v>327</v>
      </c>
      <c r="G91" s="154">
        <f>IF(A91="","",A91)</f>
        <v>1086</v>
      </c>
      <c r="H91" s="154" t="str">
        <f>_xlfn.CONCAT(D91,SUBSTITUTE(B91,"""","`"""),E91)</f>
        <v>`GCASH HAS A PURPOSE (NET)&lt;Q&gt;</v>
      </c>
      <c r="J91" s="154" t="str">
        <f>_xlfn.CONCAT(I91,H91)</f>
        <v>`GCASH HAS A PURPOSE (NET)&lt;Q&gt;</v>
      </c>
    </row>
    <row r="92" spans="1:10" x14ac:dyDescent="0.25">
      <c r="A92" s="167">
        <v>1086</v>
      </c>
      <c r="B92" s="168" t="s">
        <v>1240</v>
      </c>
      <c r="C92" s="154" t="s">
        <v>16</v>
      </c>
      <c r="D92" s="154" t="s">
        <v>318</v>
      </c>
      <c r="F92" s="154" t="s">
        <v>326</v>
      </c>
      <c r="G92" s="154">
        <f>IF(A92="","",A92)</f>
        <v>1086</v>
      </c>
      <c r="H92" s="154" t="str">
        <f>_xlfn.CONCAT(D92,SUBSTITUTE(B92,"""","`"""),E92)</f>
        <v>`     Gcash has goals</v>
      </c>
      <c r="I92" s="154" t="s">
        <v>522</v>
      </c>
      <c r="J92" s="154" t="str">
        <f>_xlfn.CONCAT(I92,H92)</f>
        <v>&lt;G1P&gt;`     Gcash has goals</v>
      </c>
    </row>
    <row r="93" spans="1:10" ht="15.75" x14ac:dyDescent="0.25">
      <c r="A93" s="161">
        <v>1087</v>
      </c>
      <c r="B93" s="155" t="s">
        <v>1512</v>
      </c>
      <c r="C93" s="154" t="s">
        <v>6</v>
      </c>
      <c r="D93" s="154" t="s">
        <v>323</v>
      </c>
      <c r="E93" s="154" t="s">
        <v>322</v>
      </c>
      <c r="F93" s="154" t="s">
        <v>327</v>
      </c>
      <c r="G93" s="154">
        <f>IF(A93="","",A93)</f>
        <v>1087</v>
      </c>
      <c r="H93" s="154" t="str">
        <f>_xlfn.CONCAT(D93,SUBSTITUTE(B93,"""","`"""),E93)</f>
        <v>`GCASH CAN BE USED ANYTIME (NET)&lt;Q&gt;</v>
      </c>
      <c r="I93" s="154" t="s">
        <v>519</v>
      </c>
      <c r="J93" s="154" t="str">
        <f>_xlfn.CONCAT(I93,H93)</f>
        <v>&lt;G1E&gt;`GCASH CAN BE USED ANYTIME (NET)&lt;Q&gt;</v>
      </c>
    </row>
    <row r="94" spans="1:10" x14ac:dyDescent="0.25">
      <c r="A94" s="167">
        <v>1087</v>
      </c>
      <c r="B94" s="168" t="s">
        <v>1241</v>
      </c>
      <c r="C94" s="154" t="s">
        <v>16</v>
      </c>
      <c r="D94" s="154" t="s">
        <v>318</v>
      </c>
      <c r="F94" s="154" t="s">
        <v>326</v>
      </c>
      <c r="G94" s="154">
        <f>IF(A94="","",A94)</f>
        <v>1087</v>
      </c>
      <c r="H94" s="154" t="str">
        <f>_xlfn.CONCAT(D94,SUBSTITUTE(B94,"""","`"""),E94)</f>
        <v>`     Gcash can use anytime</v>
      </c>
      <c r="I94" s="154" t="s">
        <v>522</v>
      </c>
      <c r="J94" s="154" t="str">
        <f>_xlfn.CONCAT(I94,H94)</f>
        <v>&lt;G1P&gt;`     Gcash can use anytime</v>
      </c>
    </row>
    <row r="95" spans="1:10" ht="15.75" x14ac:dyDescent="0.25">
      <c r="A95" s="161" t="s">
        <v>1521</v>
      </c>
      <c r="B95" s="155" t="s">
        <v>332</v>
      </c>
      <c r="C95" s="154" t="s">
        <v>6</v>
      </c>
      <c r="D95" s="154" t="s">
        <v>323</v>
      </c>
      <c r="E95" s="154" t="s">
        <v>322</v>
      </c>
      <c r="F95" s="154" t="s">
        <v>327</v>
      </c>
      <c r="G95" s="154" t="str">
        <f>IF(A95="","",A95)</f>
        <v>1029+1030+1032+1037+1038+1042+1069+1072+1080+1082+1092+1055</v>
      </c>
      <c r="H95" s="154" t="str">
        <f>_xlfn.CONCAT(D95,SUBSTITUTE(B95,"""","`"""),E95)</f>
        <v>`OTHERS (NET)&lt;Q&gt;</v>
      </c>
      <c r="J95" s="154" t="str">
        <f>_xlfn.CONCAT(I95,H95)</f>
        <v>`OTHERS (NET)&lt;Q&gt;</v>
      </c>
    </row>
    <row r="96" spans="1:10" x14ac:dyDescent="0.25">
      <c r="A96" s="161">
        <v>1029</v>
      </c>
      <c r="B96" s="163" t="s">
        <v>1202</v>
      </c>
      <c r="C96" s="154" t="s">
        <v>16</v>
      </c>
      <c r="D96" s="154" t="s">
        <v>318</v>
      </c>
      <c r="F96" s="154" t="s">
        <v>326</v>
      </c>
      <c r="G96" s="154">
        <f>IF(A96="","",A96)</f>
        <v>1029</v>
      </c>
      <c r="H96" s="154" t="str">
        <f>_xlfn.CONCAT(D96,SUBSTITUTE(B96,"""","`"""),E96)</f>
        <v>`     Good performance</v>
      </c>
      <c r="I96" s="154" t="s">
        <v>520</v>
      </c>
      <c r="J96" s="154" t="str">
        <f>_xlfn.CONCAT(I96,H96)</f>
        <v>&lt;G2B&gt;&lt;G1P&gt;`     Good performance</v>
      </c>
    </row>
    <row r="97" spans="1:10" x14ac:dyDescent="0.25">
      <c r="A97" s="161">
        <v>1030</v>
      </c>
      <c r="B97" s="163" t="s">
        <v>1203</v>
      </c>
      <c r="C97" s="154" t="s">
        <v>16</v>
      </c>
      <c r="D97" s="154" t="s">
        <v>318</v>
      </c>
      <c r="F97" s="154" t="s">
        <v>326</v>
      </c>
      <c r="G97" s="154">
        <f>IF(A97="","",A97)</f>
        <v>1030</v>
      </c>
      <c r="H97" s="154" t="str">
        <f>_xlfn.CONCAT(D97,SUBSTITUTE(B97,"""","`"""),E97)</f>
        <v>`     About gymnastic</v>
      </c>
      <c r="I97" s="154" t="s">
        <v>522</v>
      </c>
      <c r="J97" s="154" t="str">
        <f>_xlfn.CONCAT(I97,H97)</f>
        <v>&lt;G1P&gt;`     About gymnastic</v>
      </c>
    </row>
    <row r="98" spans="1:10" x14ac:dyDescent="0.25">
      <c r="A98" s="164">
        <v>1032</v>
      </c>
      <c r="B98" s="165" t="s">
        <v>1204</v>
      </c>
      <c r="C98" s="154" t="s">
        <v>16</v>
      </c>
      <c r="D98" s="154" t="s">
        <v>318</v>
      </c>
      <c r="F98" s="154" t="s">
        <v>326</v>
      </c>
      <c r="G98" s="154">
        <f>IF(A98="","",A98)</f>
        <v>1032</v>
      </c>
      <c r="H98" s="154" t="str">
        <f>_xlfn.CONCAT(D98,SUBSTITUTE(B98,"""","`"""),E98)</f>
        <v>`     Show that GCash has good services</v>
      </c>
      <c r="I98" s="154" t="s">
        <v>522</v>
      </c>
      <c r="J98" s="154" t="str">
        <f>_xlfn.CONCAT(I98,H98)</f>
        <v>&lt;G1P&gt;`     Show that GCash has good services</v>
      </c>
    </row>
    <row r="99" spans="1:10" x14ac:dyDescent="0.25">
      <c r="A99" s="167">
        <v>1037</v>
      </c>
      <c r="B99" s="166" t="s">
        <v>1205</v>
      </c>
      <c r="C99" s="154" t="s">
        <v>16</v>
      </c>
      <c r="D99" s="154" t="s">
        <v>318</v>
      </c>
      <c r="F99" s="154" t="s">
        <v>326</v>
      </c>
      <c r="G99" s="154">
        <f>IF(A99="","",A99)</f>
        <v>1037</v>
      </c>
      <c r="H99" s="154" t="str">
        <f>_xlfn.CONCAT(D99,SUBSTITUTE(B99,"""","`"""),E99)</f>
        <v>`     About donation using gcash for transfer</v>
      </c>
      <c r="I99" s="154" t="s">
        <v>522</v>
      </c>
      <c r="J99" s="154" t="str">
        <f>_xlfn.CONCAT(I99,H99)</f>
        <v>&lt;G1P&gt;`     About donation using gcash for transfer</v>
      </c>
    </row>
    <row r="100" spans="1:10" x14ac:dyDescent="0.25">
      <c r="A100" s="167">
        <v>1038</v>
      </c>
      <c r="B100" s="166" t="s">
        <v>1206</v>
      </c>
      <c r="C100" s="154" t="s">
        <v>16</v>
      </c>
      <c r="D100" s="154" t="s">
        <v>318</v>
      </c>
      <c r="F100" s="154" t="s">
        <v>326</v>
      </c>
      <c r="G100" s="154">
        <f>IF(A100="","",A100)</f>
        <v>1038</v>
      </c>
      <c r="H100" s="154" t="str">
        <f>_xlfn.CONCAT(D100,SUBSTITUTE(B100,"""","`"""),E100)</f>
        <v>`     About sa gloan</v>
      </c>
      <c r="I100" s="154" t="s">
        <v>522</v>
      </c>
      <c r="J100" s="154" t="str">
        <f>_xlfn.CONCAT(I100,H100)</f>
        <v>&lt;G1P&gt;`     About sa gloan</v>
      </c>
    </row>
    <row r="101" spans="1:10" x14ac:dyDescent="0.25">
      <c r="A101" s="167">
        <v>1042</v>
      </c>
      <c r="B101" s="166" t="s">
        <v>1210</v>
      </c>
      <c r="C101" s="154" t="s">
        <v>16</v>
      </c>
      <c r="D101" s="154" t="s">
        <v>318</v>
      </c>
      <c r="F101" s="154" t="s">
        <v>326</v>
      </c>
      <c r="G101" s="154">
        <f>IF(A101="","",A101)</f>
        <v>1042</v>
      </c>
      <c r="H101" s="154" t="str">
        <f>_xlfn.CONCAT(D101,SUBSTITUTE(B101,"""","`"""),E101)</f>
        <v>`     Using QR code to buy</v>
      </c>
      <c r="I101" s="154" t="s">
        <v>522</v>
      </c>
      <c r="J101" s="154" t="str">
        <f>_xlfn.CONCAT(I101,H101)</f>
        <v>&lt;G1P&gt;`     Using QR code to buy</v>
      </c>
    </row>
    <row r="102" spans="1:10" x14ac:dyDescent="0.25">
      <c r="A102" s="167">
        <v>1069</v>
      </c>
      <c r="B102" s="166" t="s">
        <v>1225</v>
      </c>
      <c r="C102" s="154" t="s">
        <v>16</v>
      </c>
      <c r="D102" s="154" t="s">
        <v>318</v>
      </c>
      <c r="F102" s="154" t="s">
        <v>326</v>
      </c>
      <c r="G102" s="154">
        <f>IF(A102="","",A102)</f>
        <v>1069</v>
      </c>
      <c r="H102" s="154" t="str">
        <f>_xlfn.CONCAT(D102,SUBSTITUTE(B102,"""","`"""),E102)</f>
        <v>`     There may be improvement</v>
      </c>
      <c r="I102" s="154" t="s">
        <v>522</v>
      </c>
      <c r="J102" s="154" t="str">
        <f>_xlfn.CONCAT(I102,H102)</f>
        <v>&lt;G1P&gt;`     There may be improvement</v>
      </c>
    </row>
    <row r="103" spans="1:10" x14ac:dyDescent="0.25">
      <c r="A103" s="167">
        <v>1072</v>
      </c>
      <c r="B103" s="166" t="s">
        <v>1227</v>
      </c>
      <c r="C103" s="154" t="s">
        <v>16</v>
      </c>
      <c r="D103" s="154" t="s">
        <v>318</v>
      </c>
      <c r="F103" s="154" t="s">
        <v>326</v>
      </c>
      <c r="G103" s="154">
        <f>IF(A103="","",A103)</f>
        <v>1072</v>
      </c>
      <c r="H103" s="154" t="str">
        <f>_xlfn.CONCAT(D103,SUBSTITUTE(B103,"""","`"""),E103)</f>
        <v>`     It is nice</v>
      </c>
      <c r="I103" s="154" t="s">
        <v>522</v>
      </c>
      <c r="J103" s="154" t="str">
        <f>_xlfn.CONCAT(I103,H103)</f>
        <v>&lt;G1P&gt;`     It is nice</v>
      </c>
    </row>
    <row r="104" spans="1:10" x14ac:dyDescent="0.25">
      <c r="A104" s="167">
        <v>1080</v>
      </c>
      <c r="B104" s="166" t="s">
        <v>1234</v>
      </c>
      <c r="C104" s="154" t="s">
        <v>16</v>
      </c>
      <c r="D104" s="154" t="s">
        <v>318</v>
      </c>
      <c r="F104" s="154" t="s">
        <v>326</v>
      </c>
      <c r="G104" s="154">
        <f>IF(A104="","",A104)</f>
        <v>1080</v>
      </c>
      <c r="H104" s="154" t="str">
        <f>_xlfn.CONCAT(D104,SUBSTITUTE(B104,"""","`"""),E104)</f>
        <v>`     Introduction to our country</v>
      </c>
      <c r="I104" s="154" t="s">
        <v>522</v>
      </c>
      <c r="J104" s="154" t="str">
        <f>_xlfn.CONCAT(I104,H104)</f>
        <v>&lt;G1P&gt;`     Introduction to our country</v>
      </c>
    </row>
    <row r="105" spans="1:10" x14ac:dyDescent="0.25">
      <c r="A105" s="167">
        <v>1082</v>
      </c>
      <c r="B105" s="166" t="s">
        <v>1236</v>
      </c>
      <c r="C105" s="154" t="s">
        <v>16</v>
      </c>
      <c r="D105" s="154" t="s">
        <v>318</v>
      </c>
      <c r="F105" s="154" t="s">
        <v>326</v>
      </c>
      <c r="G105" s="154">
        <f>IF(A105="","",A105)</f>
        <v>1082</v>
      </c>
      <c r="H105" s="154" t="str">
        <f>_xlfn.CONCAT(D105,SUBSTITUTE(B105,"""","`"""),E105)</f>
        <v>`     Showing that they are happy</v>
      </c>
      <c r="I105" s="154" t="s">
        <v>522</v>
      </c>
      <c r="J105" s="154" t="str">
        <f>_xlfn.CONCAT(I105,H105)</f>
        <v>&lt;G1P&gt;`     Showing that they are happy</v>
      </c>
    </row>
    <row r="106" spans="1:10" x14ac:dyDescent="0.25">
      <c r="A106" s="167">
        <v>1092</v>
      </c>
      <c r="B106" s="168" t="s">
        <v>1244</v>
      </c>
      <c r="C106" s="154" t="s">
        <v>16</v>
      </c>
      <c r="D106" s="154" t="s">
        <v>318</v>
      </c>
      <c r="F106" s="154" t="s">
        <v>326</v>
      </c>
      <c r="G106" s="154">
        <f>IF(A106="","",A106)</f>
        <v>1092</v>
      </c>
      <c r="H106" s="154" t="str">
        <f>_xlfn.CONCAT(D106,SUBSTITUTE(B106,"""","`"""),E106)</f>
        <v>`     Always update on event</v>
      </c>
      <c r="I106" s="154" t="s">
        <v>522</v>
      </c>
      <c r="J106" s="154" t="str">
        <f>_xlfn.CONCAT(I106,H106)</f>
        <v>&lt;G1P&gt;`     Always update on event</v>
      </c>
    </row>
    <row r="107" spans="1:10" x14ac:dyDescent="0.25">
      <c r="A107" s="167">
        <v>1055</v>
      </c>
      <c r="B107" s="166" t="s">
        <v>1184</v>
      </c>
      <c r="C107" s="154" t="s">
        <v>16</v>
      </c>
      <c r="D107" s="154" t="s">
        <v>318</v>
      </c>
      <c r="F107" s="154" t="s">
        <v>326</v>
      </c>
      <c r="G107" s="154">
        <f>IF(A107="","",A107)</f>
        <v>1055</v>
      </c>
      <c r="H107" s="154" t="str">
        <f>_xlfn.CONCAT(D107,SUBSTITUTE(B107,"""","`"""),E107)</f>
        <v>`     Good transaction</v>
      </c>
      <c r="I107" s="154" t="s">
        <v>521</v>
      </c>
      <c r="J107" s="154" t="str">
        <f>_xlfn.CONCAT(I107,H107)</f>
        <v>&lt;G2E&gt;&lt;G1P&gt;`     Good transaction</v>
      </c>
    </row>
    <row r="108" spans="1:10" ht="15.75" x14ac:dyDescent="0.25">
      <c r="A108" s="161" t="s">
        <v>1522</v>
      </c>
      <c r="B108" s="15" t="s">
        <v>331</v>
      </c>
      <c r="C108" s="154" t="s">
        <v>6</v>
      </c>
      <c r="D108" s="154" t="s">
        <v>323</v>
      </c>
      <c r="E108" s="154" t="s">
        <v>322</v>
      </c>
      <c r="F108" s="154" t="s">
        <v>327</v>
      </c>
      <c r="G108" s="154" t="str">
        <f>IF(A108="","",A108)</f>
        <v>1089+1040+1046+1047+1049</v>
      </c>
      <c r="H108" s="154" t="str">
        <f>_xlfn.CONCAT(D108,SUBSTITUTE(B108,"""","`"""),E108)</f>
        <v>`VAGUE (NET)&lt;Q&gt;</v>
      </c>
      <c r="J108" s="154" t="str">
        <f>_xlfn.CONCAT(I108,H108)</f>
        <v>`VAGUE (NET)&lt;Q&gt;</v>
      </c>
    </row>
    <row r="109" spans="1:10" x14ac:dyDescent="0.25">
      <c r="A109" s="167">
        <v>1089</v>
      </c>
      <c r="B109" s="166" t="s">
        <v>784</v>
      </c>
      <c r="C109" s="154" t="s">
        <v>16</v>
      </c>
      <c r="D109" s="154" t="s">
        <v>318</v>
      </c>
      <c r="F109" s="154" t="s">
        <v>326</v>
      </c>
      <c r="G109" s="154">
        <f>IF(A109="","",A109)</f>
        <v>1089</v>
      </c>
      <c r="H109" s="154" t="str">
        <f>_xlfn.CONCAT(D109,SUBSTITUTE(B109,"""","`"""),E109)</f>
        <v>`     It's okay</v>
      </c>
      <c r="I109" s="154" t="s">
        <v>520</v>
      </c>
      <c r="J109" s="154" t="str">
        <f>_xlfn.CONCAT(I109,H109)</f>
        <v>&lt;G2B&gt;&lt;G1P&gt;`     It's okay</v>
      </c>
    </row>
    <row r="110" spans="1:10" x14ac:dyDescent="0.25">
      <c r="A110" s="167">
        <v>1040</v>
      </c>
      <c r="B110" s="166" t="s">
        <v>1208</v>
      </c>
      <c r="C110" s="154" t="s">
        <v>16</v>
      </c>
      <c r="D110" s="154" t="s">
        <v>318</v>
      </c>
      <c r="F110" s="154" t="s">
        <v>326</v>
      </c>
      <c r="G110" s="154">
        <f>IF(A110="","",A110)</f>
        <v>1040</v>
      </c>
      <c r="H110" s="154" t="str">
        <f>_xlfn.CONCAT(D110,SUBSTITUTE(B110,"""","`"""),E110)</f>
        <v>`     Gcash should be used in a good way</v>
      </c>
      <c r="I110" s="154" t="s">
        <v>522</v>
      </c>
      <c r="J110" s="154" t="str">
        <f>_xlfn.CONCAT(I110,H110)</f>
        <v>&lt;G1P&gt;`     Gcash should be used in a good way</v>
      </c>
    </row>
    <row r="111" spans="1:10" x14ac:dyDescent="0.25">
      <c r="A111" s="167">
        <v>1046</v>
      </c>
      <c r="B111" s="166" t="s">
        <v>1214</v>
      </c>
      <c r="C111" s="154" t="s">
        <v>16</v>
      </c>
      <c r="D111" s="154" t="s">
        <v>318</v>
      </c>
      <c r="F111" s="154" t="s">
        <v>326</v>
      </c>
      <c r="G111" s="154">
        <f>IF(A111="","",A111)</f>
        <v>1046</v>
      </c>
      <c r="H111" s="154" t="str">
        <f>_xlfn.CONCAT(D111,SUBSTITUTE(B111,"""","`"""),E111)</f>
        <v xml:space="preserve">`     Gcash can't be used by children </v>
      </c>
      <c r="I111" s="154" t="s">
        <v>522</v>
      </c>
      <c r="J111" s="154" t="str">
        <f>_xlfn.CONCAT(I111,H111)</f>
        <v xml:space="preserve">&lt;G1P&gt;`     Gcash can't be used by children </v>
      </c>
    </row>
    <row r="112" spans="1:10" x14ac:dyDescent="0.25">
      <c r="A112" s="167">
        <v>1047</v>
      </c>
      <c r="B112" s="166" t="s">
        <v>1215</v>
      </c>
      <c r="C112" s="154" t="s">
        <v>16</v>
      </c>
      <c r="D112" s="154" t="s">
        <v>318</v>
      </c>
      <c r="F112" s="154" t="s">
        <v>326</v>
      </c>
      <c r="G112" s="154">
        <f>IF(A112="","",A112)</f>
        <v>1047</v>
      </c>
      <c r="H112" s="154" t="str">
        <f>_xlfn.CONCAT(D112,SUBSTITUTE(B112,"""","`"""),E112)</f>
        <v>`     Financial</v>
      </c>
      <c r="I112" s="154" t="s">
        <v>522</v>
      </c>
      <c r="J112" s="154" t="str">
        <f>_xlfn.CONCAT(I112,H112)</f>
        <v>&lt;G1P&gt;`     Financial</v>
      </c>
    </row>
    <row r="113" spans="1:10" x14ac:dyDescent="0.25">
      <c r="A113" s="167">
        <v>1049</v>
      </c>
      <c r="B113" s="166" t="s">
        <v>1217</v>
      </c>
      <c r="C113" s="154" t="s">
        <v>16</v>
      </c>
      <c r="D113" s="154" t="s">
        <v>318</v>
      </c>
      <c r="F113" s="154" t="s">
        <v>326</v>
      </c>
      <c r="G113" s="154">
        <f>IF(A113="","",A113)</f>
        <v>1049</v>
      </c>
      <c r="H113" s="154" t="str">
        <f>_xlfn.CONCAT(D113,SUBSTITUTE(B113,"""","`"""),E113)</f>
        <v>`     Immittate to succeed</v>
      </c>
      <c r="I113" s="154" t="s">
        <v>521</v>
      </c>
      <c r="J113" s="154" t="str">
        <f>_xlfn.CONCAT(I113,H113)</f>
        <v>&lt;G2E&gt;&lt;G1P&gt;`     Immittate to succeed</v>
      </c>
    </row>
    <row r="114" spans="1:10" x14ac:dyDescent="0.25">
      <c r="A114" s="161">
        <v>9997</v>
      </c>
      <c r="B114" s="163" t="s">
        <v>336</v>
      </c>
      <c r="G114" s="154">
        <f>IF(A114="","",A114)</f>
        <v>9997</v>
      </c>
      <c r="H114" s="154" t="str">
        <f>_xlfn.CONCAT(D114,SUBSTITUTE(B114,"""","`"""),E114)</f>
        <v>Don't know</v>
      </c>
      <c r="J114" s="154" t="str">
        <f>_xlfn.CONCAT(I114,H114)</f>
        <v>Don't know</v>
      </c>
    </row>
    <row r="115" spans="1:10" x14ac:dyDescent="0.25">
      <c r="A115" s="161">
        <v>9999</v>
      </c>
      <c r="B115" s="163" t="s">
        <v>303</v>
      </c>
      <c r="G115" s="154">
        <f>IF(A115="","",A115)</f>
        <v>9999</v>
      </c>
      <c r="H115" s="154" t="str">
        <f>_xlfn.CONCAT(D115,SUBSTITUTE(B115,"""","`"""),E115)</f>
        <v>None</v>
      </c>
      <c r="J115" s="154" t="str">
        <f>_xlfn.CONCAT(I115,H115)</f>
        <v>None</v>
      </c>
    </row>
    <row r="116" spans="1:10" x14ac:dyDescent="0.25">
      <c r="A116" s="167">
        <v>9998</v>
      </c>
      <c r="B116" s="166" t="s">
        <v>1245</v>
      </c>
      <c r="G116" s="154">
        <f>IF(A116="","",A116)</f>
        <v>9998</v>
      </c>
      <c r="H116" s="154" t="str">
        <f>_xlfn.CONCAT(D116,SUBSTITUTE(B116,"""","`"""),E116)</f>
        <v>Cant say</v>
      </c>
      <c r="J116" s="154" t="str">
        <f>_xlfn.CONCAT(I116,H116)</f>
        <v>Cant say</v>
      </c>
    </row>
    <row r="117" spans="1:10" x14ac:dyDescent="0.25">
      <c r="A117" s="161"/>
      <c r="B117" s="163"/>
    </row>
    <row r="118" spans="1:10" x14ac:dyDescent="0.25">
      <c r="A118" s="161"/>
      <c r="B118" s="163"/>
    </row>
    <row r="119" spans="1:10" x14ac:dyDescent="0.25">
      <c r="A119" s="161"/>
      <c r="B119" s="163"/>
    </row>
    <row r="120" spans="1:10" x14ac:dyDescent="0.25">
      <c r="A120" s="161"/>
      <c r="B120" s="163"/>
    </row>
    <row r="121" spans="1:10" x14ac:dyDescent="0.25">
      <c r="A121" s="161"/>
      <c r="B121" s="163"/>
    </row>
    <row r="122" spans="1:10" x14ac:dyDescent="0.25">
      <c r="A122" s="161"/>
      <c r="B122" s="163"/>
    </row>
    <row r="123" spans="1:10" x14ac:dyDescent="0.25">
      <c r="A123" s="161"/>
      <c r="B123" s="163"/>
    </row>
    <row r="124" spans="1:10" x14ac:dyDescent="0.25">
      <c r="A124" s="161"/>
      <c r="B124" s="163"/>
    </row>
    <row r="125" spans="1:10" x14ac:dyDescent="0.25">
      <c r="A125" s="161"/>
      <c r="B125" s="163"/>
    </row>
    <row r="126" spans="1:10" x14ac:dyDescent="0.25">
      <c r="A126" s="161"/>
      <c r="B126" s="163"/>
    </row>
    <row r="127" spans="1:10" x14ac:dyDescent="0.25">
      <c r="A127" s="161"/>
      <c r="B127" s="163"/>
    </row>
    <row r="128" spans="1:10" x14ac:dyDescent="0.25">
      <c r="A128" s="161"/>
      <c r="B128" s="163"/>
    </row>
    <row r="129" spans="1:2" x14ac:dyDescent="0.25">
      <c r="A129" s="161"/>
      <c r="B129" s="163"/>
    </row>
    <row r="130" spans="1:2" x14ac:dyDescent="0.25">
      <c r="A130" s="161"/>
      <c r="B130" s="163"/>
    </row>
    <row r="131" spans="1:2" x14ac:dyDescent="0.25">
      <c r="A131" s="161"/>
      <c r="B131" s="163"/>
    </row>
    <row r="132" spans="1:2" x14ac:dyDescent="0.25">
      <c r="A132" s="161"/>
      <c r="B132" s="163"/>
    </row>
    <row r="133" spans="1:2" x14ac:dyDescent="0.25">
      <c r="A133" s="161"/>
      <c r="B133" s="163"/>
    </row>
    <row r="134" spans="1:2" x14ac:dyDescent="0.25">
      <c r="A134" s="161"/>
      <c r="B134" s="163"/>
    </row>
    <row r="135" spans="1:2" x14ac:dyDescent="0.25">
      <c r="A135" s="161"/>
      <c r="B135" s="163"/>
    </row>
    <row r="136" spans="1:2" x14ac:dyDescent="0.25">
      <c r="A136" s="161"/>
      <c r="B136" s="163"/>
    </row>
    <row r="137" spans="1:2" x14ac:dyDescent="0.25">
      <c r="A137" s="161"/>
      <c r="B137" s="163"/>
    </row>
    <row r="138" spans="1:2" x14ac:dyDescent="0.25">
      <c r="A138" s="161"/>
      <c r="B138" s="163"/>
    </row>
    <row r="139" spans="1:2" x14ac:dyDescent="0.25">
      <c r="A139" s="161"/>
      <c r="B139" s="163"/>
    </row>
    <row r="140" spans="1:2" x14ac:dyDescent="0.25">
      <c r="A140" s="161"/>
      <c r="B140" s="163"/>
    </row>
    <row r="141" spans="1:2" x14ac:dyDescent="0.25">
      <c r="A141" s="161"/>
      <c r="B141" s="163"/>
    </row>
    <row r="142" spans="1:2" x14ac:dyDescent="0.25">
      <c r="A142" s="161"/>
      <c r="B142" s="163"/>
    </row>
    <row r="143" spans="1:2" x14ac:dyDescent="0.25">
      <c r="A143" s="161"/>
      <c r="B143" s="163"/>
    </row>
    <row r="144" spans="1:2" x14ac:dyDescent="0.25">
      <c r="A144" s="161"/>
      <c r="B144" s="163"/>
    </row>
    <row r="145" spans="1:2" x14ac:dyDescent="0.25">
      <c r="A145" s="161"/>
      <c r="B145" s="163"/>
    </row>
    <row r="146" spans="1:2" x14ac:dyDescent="0.25">
      <c r="A146" s="161"/>
      <c r="B146" s="163"/>
    </row>
    <row r="147" spans="1:2" x14ac:dyDescent="0.25">
      <c r="A147" s="161"/>
      <c r="B147" s="163"/>
    </row>
    <row r="148" spans="1:2" x14ac:dyDescent="0.25">
      <c r="A148" s="161"/>
      <c r="B148" s="163"/>
    </row>
    <row r="149" spans="1:2" x14ac:dyDescent="0.25">
      <c r="A149" s="161"/>
      <c r="B149" s="163"/>
    </row>
    <row r="150" spans="1:2" x14ac:dyDescent="0.25">
      <c r="A150" s="161"/>
      <c r="B150" s="163"/>
    </row>
    <row r="151" spans="1:2" x14ac:dyDescent="0.25">
      <c r="A151" s="161"/>
      <c r="B151" s="163"/>
    </row>
    <row r="152" spans="1:2" x14ac:dyDescent="0.25">
      <c r="A152" s="161"/>
      <c r="B152" s="163"/>
    </row>
    <row r="153" spans="1:2" x14ac:dyDescent="0.25">
      <c r="A153" s="161"/>
      <c r="B153" s="163"/>
    </row>
    <row r="154" spans="1:2" x14ac:dyDescent="0.25">
      <c r="A154" s="161"/>
      <c r="B154" s="163"/>
    </row>
    <row r="155" spans="1:2" x14ac:dyDescent="0.25">
      <c r="A155" s="161"/>
      <c r="B155" s="163"/>
    </row>
    <row r="156" spans="1:2" x14ac:dyDescent="0.25">
      <c r="A156" s="161"/>
      <c r="B156" s="163"/>
    </row>
    <row r="157" spans="1:2" x14ac:dyDescent="0.25">
      <c r="A157" s="161"/>
      <c r="B157" s="163"/>
    </row>
  </sheetData>
  <autoFilter ref="A1:C157" xr:uid="{A8FB6338-70BB-4843-902A-D31817297D7E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3D5A7-4A0C-4F43-9C10-040CF6289E5E}">
  <dimension ref="A1:J112"/>
  <sheetViews>
    <sheetView topLeftCell="A75" workbookViewId="0">
      <selection activeCell="G1" sqref="G1:I112"/>
    </sheetView>
  </sheetViews>
  <sheetFormatPr defaultRowHeight="15" x14ac:dyDescent="0.25"/>
  <cols>
    <col min="1" max="1" width="45.7109375" customWidth="1"/>
    <col min="2" max="2" width="58.28515625" customWidth="1"/>
  </cols>
  <sheetData>
    <row r="1" spans="1:10" x14ac:dyDescent="0.25">
      <c r="A1" s="115" t="s">
        <v>533</v>
      </c>
      <c r="B1" s="115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ht="31.5" x14ac:dyDescent="0.25">
      <c r="A2" s="116" t="s">
        <v>1338</v>
      </c>
      <c r="B2" s="117" t="s">
        <v>1248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33" si="0">IF(A2="","",A2)</f>
        <v>1001+1002</v>
      </c>
      <c r="H2" t="str">
        <f t="shared" ref="H2:H33" si="1">_xlfn.CONCAT(D2,SUBSTITUTE(B2,"""","`"""),E2)</f>
        <v>`GCASH IS RELIABLE WHEN IN NEED FOR A LOAN (NET)&lt;Q&gt;</v>
      </c>
      <c r="I2" t="s">
        <v>518</v>
      </c>
      <c r="J2" t="str">
        <f t="shared" ref="J2:J33" si="2">_xlfn.CONCAT(I2,H2)</f>
        <v>&lt;G1B&gt;`GCASH IS RELIABLE WHEN IN NEED FOR A LOAN (NET)&lt;Q&gt;</v>
      </c>
    </row>
    <row r="3" spans="1:10" ht="28.5" x14ac:dyDescent="0.25">
      <c r="A3" s="116">
        <v>1001</v>
      </c>
      <c r="B3" s="118" t="s">
        <v>1249</v>
      </c>
      <c r="C3" t="s">
        <v>16</v>
      </c>
      <c r="D3" t="s">
        <v>318</v>
      </c>
      <c r="F3" t="s">
        <v>326</v>
      </c>
      <c r="G3">
        <f t="shared" si="0"/>
        <v>1001</v>
      </c>
      <c r="H3" t="str">
        <f t="shared" si="1"/>
        <v>`     In times of need or emergencies, you can rely on GCash for a loan</v>
      </c>
      <c r="I3" t="s">
        <v>520</v>
      </c>
      <c r="J3" t="str">
        <f t="shared" si="2"/>
        <v>&lt;G2B&gt;&lt;G1P&gt;`     In times of need or emergencies, you can rely on GCash for a loan</v>
      </c>
    </row>
    <row r="4" spans="1:10" ht="28.5" x14ac:dyDescent="0.25">
      <c r="A4" s="116">
        <v>1002</v>
      </c>
      <c r="B4" s="118" t="s">
        <v>1250</v>
      </c>
      <c r="C4" t="s">
        <v>16</v>
      </c>
      <c r="D4" t="s">
        <v>318</v>
      </c>
      <c r="F4" t="s">
        <v>326</v>
      </c>
      <c r="G4">
        <f t="shared" si="0"/>
        <v>1002</v>
      </c>
      <c r="H4" t="str">
        <f t="shared" si="1"/>
        <v>`     You won’t run out of water anymore because you can borrow money from GCash using GCredit</v>
      </c>
      <c r="I4" t="s">
        <v>521</v>
      </c>
      <c r="J4" t="str">
        <f t="shared" si="2"/>
        <v>&lt;G2E&gt;&lt;G1P&gt;`     You won’t run out of water anymore because you can borrow money from GCash using GCredit</v>
      </c>
    </row>
    <row r="5" spans="1:10" ht="28.5" x14ac:dyDescent="0.25">
      <c r="A5" s="116" t="s">
        <v>1339</v>
      </c>
      <c r="B5" s="117" t="s">
        <v>1251</v>
      </c>
      <c r="C5" t="s">
        <v>6</v>
      </c>
      <c r="D5" t="s">
        <v>323</v>
      </c>
      <c r="E5" t="s">
        <v>322</v>
      </c>
      <c r="F5" t="s">
        <v>327</v>
      </c>
      <c r="G5" t="str">
        <f t="shared" si="0"/>
        <v>1003+1004+1005+1006+1036+1056+1057+1053</v>
      </c>
      <c r="H5" t="str">
        <f t="shared" si="1"/>
        <v>`CAN BORROW FROM GCASH TO PAY BILLS (NET)&lt;Q&gt;</v>
      </c>
      <c r="J5" t="str">
        <f t="shared" si="2"/>
        <v>`CAN BORROW FROM GCASH TO PAY BILLS (NET)&lt;Q&gt;</v>
      </c>
    </row>
    <row r="6" spans="1:10" x14ac:dyDescent="0.25">
      <c r="A6" s="116">
        <v>1003</v>
      </c>
      <c r="B6" s="118" t="s">
        <v>1252</v>
      </c>
      <c r="C6" t="s">
        <v>16</v>
      </c>
      <c r="D6" t="s">
        <v>318</v>
      </c>
      <c r="F6" t="s">
        <v>326</v>
      </c>
      <c r="G6">
        <f t="shared" si="0"/>
        <v>1003</v>
      </c>
      <c r="H6" t="str">
        <f t="shared" si="1"/>
        <v>`     Can use GCash loan to pay bills</v>
      </c>
      <c r="I6" t="s">
        <v>520</v>
      </c>
      <c r="J6" t="str">
        <f t="shared" si="2"/>
        <v>&lt;G2B&gt;&lt;G1P&gt;`     Can use GCash loan to pay bills</v>
      </c>
    </row>
    <row r="7" spans="1:10" x14ac:dyDescent="0.25">
      <c r="A7" s="116">
        <v>1004</v>
      </c>
      <c r="B7" s="118" t="s">
        <v>1253</v>
      </c>
      <c r="C7" t="s">
        <v>16</v>
      </c>
      <c r="D7" t="s">
        <v>318</v>
      </c>
      <c r="F7" t="s">
        <v>326</v>
      </c>
      <c r="G7">
        <f t="shared" si="0"/>
        <v>1004</v>
      </c>
      <c r="H7" t="str">
        <f t="shared" si="1"/>
        <v>`     Need to borrow from GCash to pay water bills</v>
      </c>
      <c r="I7" t="s">
        <v>522</v>
      </c>
      <c r="J7" t="str">
        <f t="shared" si="2"/>
        <v>&lt;G1P&gt;`     Need to borrow from GCash to pay water bills</v>
      </c>
    </row>
    <row r="8" spans="1:10" x14ac:dyDescent="0.25">
      <c r="A8" s="116">
        <v>1005</v>
      </c>
      <c r="B8" s="118" t="s">
        <v>1254</v>
      </c>
      <c r="C8" t="s">
        <v>16</v>
      </c>
      <c r="D8" t="s">
        <v>318</v>
      </c>
      <c r="F8" t="s">
        <v>326</v>
      </c>
      <c r="G8">
        <f t="shared" si="0"/>
        <v>1005</v>
      </c>
      <c r="H8" t="str">
        <f t="shared" si="1"/>
        <v>`     Can borrow from GCredit  to pay for water bills</v>
      </c>
      <c r="I8" t="s">
        <v>522</v>
      </c>
      <c r="J8" t="str">
        <f t="shared" si="2"/>
        <v>&lt;G1P&gt;`     Can borrow from GCredit  to pay for water bills</v>
      </c>
    </row>
    <row r="9" spans="1:10" x14ac:dyDescent="0.25">
      <c r="A9" s="116">
        <v>1006</v>
      </c>
      <c r="B9" s="118" t="s">
        <v>1255</v>
      </c>
      <c r="C9" t="s">
        <v>16</v>
      </c>
      <c r="D9" t="s">
        <v>318</v>
      </c>
      <c r="F9" t="s">
        <v>326</v>
      </c>
      <c r="G9">
        <f t="shared" si="0"/>
        <v>1006</v>
      </c>
      <c r="H9" t="str">
        <f t="shared" si="1"/>
        <v>`     Can borrow money from GCredit to pay for bills</v>
      </c>
      <c r="I9" t="s">
        <v>522</v>
      </c>
      <c r="J9" t="str">
        <f t="shared" si="2"/>
        <v>&lt;G1P&gt;`     Can borrow money from GCredit to pay for bills</v>
      </c>
    </row>
    <row r="10" spans="1:10" x14ac:dyDescent="0.25">
      <c r="A10" s="121">
        <v>1036</v>
      </c>
      <c r="B10" s="122" t="s">
        <v>1256</v>
      </c>
      <c r="C10" t="s">
        <v>16</v>
      </c>
      <c r="D10" t="s">
        <v>318</v>
      </c>
      <c r="F10" t="s">
        <v>326</v>
      </c>
      <c r="G10">
        <f t="shared" si="0"/>
        <v>1036</v>
      </c>
      <c r="H10" t="str">
        <f t="shared" si="1"/>
        <v>`     Can borrow from GCredit to pay for electricity bills</v>
      </c>
      <c r="I10" t="s">
        <v>522</v>
      </c>
      <c r="J10" t="str">
        <f t="shared" si="2"/>
        <v>&lt;G1P&gt;`     Can borrow from GCredit to pay for electricity bills</v>
      </c>
    </row>
    <row r="11" spans="1:10" x14ac:dyDescent="0.25">
      <c r="A11" s="121">
        <v>1056</v>
      </c>
      <c r="B11" s="122" t="s">
        <v>1257</v>
      </c>
      <c r="C11" t="s">
        <v>16</v>
      </c>
      <c r="D11" t="s">
        <v>318</v>
      </c>
      <c r="F11" t="s">
        <v>326</v>
      </c>
      <c r="G11">
        <f t="shared" si="0"/>
        <v>1056</v>
      </c>
      <c r="H11" t="str">
        <f t="shared" si="1"/>
        <v>`     To pay for electricity you use GLoan</v>
      </c>
      <c r="I11" t="s">
        <v>522</v>
      </c>
      <c r="J11" t="str">
        <f t="shared" si="2"/>
        <v>&lt;G1P&gt;`     To pay for electricity you use GLoan</v>
      </c>
    </row>
    <row r="12" spans="1:10" x14ac:dyDescent="0.25">
      <c r="A12" s="121">
        <v>1057</v>
      </c>
      <c r="B12" s="122" t="s">
        <v>1258</v>
      </c>
      <c r="C12" t="s">
        <v>16</v>
      </c>
      <c r="D12" t="s">
        <v>318</v>
      </c>
      <c r="F12" t="s">
        <v>326</v>
      </c>
      <c r="G12">
        <f t="shared" si="0"/>
        <v>1057</v>
      </c>
      <c r="H12" t="str">
        <f t="shared" si="1"/>
        <v>`     To pay for water you use GLoan</v>
      </c>
      <c r="I12" t="s">
        <v>522</v>
      </c>
      <c r="J12" t="str">
        <f t="shared" si="2"/>
        <v>&lt;G1P&gt;`     To pay for water you use GLoan</v>
      </c>
    </row>
    <row r="13" spans="1:10" x14ac:dyDescent="0.25">
      <c r="A13" s="121">
        <v>1053</v>
      </c>
      <c r="B13" s="122" t="s">
        <v>1259</v>
      </c>
      <c r="C13" t="s">
        <v>16</v>
      </c>
      <c r="D13" t="s">
        <v>318</v>
      </c>
      <c r="F13" t="s">
        <v>326</v>
      </c>
      <c r="G13">
        <f t="shared" si="0"/>
        <v>1053</v>
      </c>
      <c r="H13" t="str">
        <f t="shared" si="1"/>
        <v>`     Had a water line cut and they used GCash for Credit</v>
      </c>
      <c r="I13" t="s">
        <v>521</v>
      </c>
      <c r="J13" t="str">
        <f t="shared" si="2"/>
        <v>&lt;G2E&gt;&lt;G1P&gt;`     Had a water line cut and they used GCash for Credit</v>
      </c>
    </row>
    <row r="14" spans="1:10" ht="28.5" x14ac:dyDescent="0.25">
      <c r="A14" s="116" t="s">
        <v>1340</v>
      </c>
      <c r="B14" s="117" t="s">
        <v>1260</v>
      </c>
      <c r="C14" t="s">
        <v>6</v>
      </c>
      <c r="D14" t="s">
        <v>323</v>
      </c>
      <c r="E14" t="s">
        <v>322</v>
      </c>
      <c r="F14" t="s">
        <v>327</v>
      </c>
      <c r="G14" t="str">
        <f t="shared" si="0"/>
        <v>1007+1010+1011+1025+1026+1028+1031+1034+1050+1032+1035+1074</v>
      </c>
      <c r="H14" t="str">
        <f t="shared" si="1"/>
        <v>`GCREDIT (NET)&lt;Q&gt;</v>
      </c>
      <c r="J14" t="str">
        <f t="shared" si="2"/>
        <v>`GCREDIT (NET)&lt;Q&gt;</v>
      </c>
    </row>
    <row r="15" spans="1:10" x14ac:dyDescent="0.25">
      <c r="A15" s="116">
        <v>1007</v>
      </c>
      <c r="B15" s="118" t="s">
        <v>1261</v>
      </c>
      <c r="C15" t="s">
        <v>16</v>
      </c>
      <c r="D15" t="s">
        <v>318</v>
      </c>
      <c r="F15" t="s">
        <v>326</v>
      </c>
      <c r="G15">
        <f t="shared" si="0"/>
        <v>1007</v>
      </c>
      <c r="H15" t="str">
        <f t="shared" si="1"/>
        <v>`     Can borrow money from GCash using GCredit</v>
      </c>
      <c r="I15" t="s">
        <v>520</v>
      </c>
      <c r="J15" t="str">
        <f t="shared" si="2"/>
        <v>&lt;G2B&gt;&lt;G1P&gt;`     Can borrow money from GCash using GCredit</v>
      </c>
    </row>
    <row r="16" spans="1:10" x14ac:dyDescent="0.25">
      <c r="A16" s="116">
        <v>1010</v>
      </c>
      <c r="B16" s="118" t="s">
        <v>1262</v>
      </c>
      <c r="C16" t="s">
        <v>16</v>
      </c>
      <c r="D16" t="s">
        <v>318</v>
      </c>
      <c r="F16" t="s">
        <v>326</v>
      </c>
      <c r="G16">
        <f t="shared" si="0"/>
        <v>1010</v>
      </c>
      <c r="H16" t="str">
        <f t="shared" si="1"/>
        <v>`     Can use GCredit any time</v>
      </c>
      <c r="I16" t="s">
        <v>522</v>
      </c>
      <c r="J16" t="str">
        <f t="shared" si="2"/>
        <v>&lt;G1P&gt;`     Can use GCredit any time</v>
      </c>
    </row>
    <row r="17" spans="1:10" x14ac:dyDescent="0.25">
      <c r="A17" s="116">
        <v>1011</v>
      </c>
      <c r="B17" s="118" t="s">
        <v>1263</v>
      </c>
      <c r="C17" t="s">
        <v>16</v>
      </c>
      <c r="D17" t="s">
        <v>318</v>
      </c>
      <c r="F17" t="s">
        <v>326</v>
      </c>
      <c r="G17">
        <f t="shared" si="0"/>
        <v>1011</v>
      </c>
      <c r="H17" t="str">
        <f t="shared" si="1"/>
        <v>`     GCredit</v>
      </c>
      <c r="I17" t="s">
        <v>522</v>
      </c>
      <c r="J17" t="str">
        <f t="shared" si="2"/>
        <v>&lt;G1P&gt;`     GCredit</v>
      </c>
    </row>
    <row r="18" spans="1:10" x14ac:dyDescent="0.25">
      <c r="A18" s="121">
        <v>1025</v>
      </c>
      <c r="B18" s="122" t="s">
        <v>1264</v>
      </c>
      <c r="C18" t="s">
        <v>16</v>
      </c>
      <c r="D18" t="s">
        <v>318</v>
      </c>
      <c r="F18" t="s">
        <v>326</v>
      </c>
      <c r="G18">
        <f t="shared" si="0"/>
        <v>1025</v>
      </c>
      <c r="H18" t="str">
        <f t="shared" si="1"/>
        <v>`     In GCredit</v>
      </c>
      <c r="I18" t="s">
        <v>522</v>
      </c>
      <c r="J18" t="str">
        <f t="shared" si="2"/>
        <v>&lt;G1P&gt;`     In GCredit</v>
      </c>
    </row>
    <row r="19" spans="1:10" x14ac:dyDescent="0.25">
      <c r="A19" s="121">
        <v>1026</v>
      </c>
      <c r="B19" s="122" t="s">
        <v>1265</v>
      </c>
      <c r="C19" t="s">
        <v>16</v>
      </c>
      <c r="D19" t="s">
        <v>318</v>
      </c>
      <c r="F19" t="s">
        <v>326</v>
      </c>
      <c r="G19">
        <f t="shared" si="0"/>
        <v>1026</v>
      </c>
      <c r="H19" t="str">
        <f t="shared" si="1"/>
        <v>`     Borrow in GCredit</v>
      </c>
      <c r="I19" t="s">
        <v>522</v>
      </c>
      <c r="J19" t="str">
        <f t="shared" si="2"/>
        <v>&lt;G1P&gt;`     Borrow in GCredit</v>
      </c>
    </row>
    <row r="20" spans="1:10" x14ac:dyDescent="0.25">
      <c r="A20" s="121">
        <v>1028</v>
      </c>
      <c r="B20" s="122" t="s">
        <v>1266</v>
      </c>
      <c r="C20" t="s">
        <v>16</v>
      </c>
      <c r="D20" t="s">
        <v>318</v>
      </c>
      <c r="F20" t="s">
        <v>326</v>
      </c>
      <c r="G20">
        <f t="shared" si="0"/>
        <v>1028</v>
      </c>
      <c r="H20" t="str">
        <f t="shared" si="1"/>
        <v>`     GCredit is easy to borrow when there is an emergency</v>
      </c>
      <c r="I20" t="s">
        <v>522</v>
      </c>
      <c r="J20" t="str">
        <f t="shared" si="2"/>
        <v>&lt;G1P&gt;`     GCredit is easy to borrow when there is an emergency</v>
      </c>
    </row>
    <row r="21" spans="1:10" x14ac:dyDescent="0.25">
      <c r="A21" s="121">
        <v>1031</v>
      </c>
      <c r="B21" s="122" t="s">
        <v>1267</v>
      </c>
      <c r="C21" t="s">
        <v>16</v>
      </c>
      <c r="D21" t="s">
        <v>318</v>
      </c>
      <c r="F21" t="s">
        <v>326</v>
      </c>
      <c r="G21">
        <f t="shared" si="0"/>
        <v>1031</v>
      </c>
      <c r="H21" t="str">
        <f t="shared" si="1"/>
        <v>`     GCredit can be used with GCash</v>
      </c>
      <c r="I21" t="s">
        <v>522</v>
      </c>
      <c r="J21" t="str">
        <f t="shared" si="2"/>
        <v>&lt;G1P&gt;`     GCredit can be used with GCash</v>
      </c>
    </row>
    <row r="22" spans="1:10" x14ac:dyDescent="0.25">
      <c r="A22" s="121">
        <v>1034</v>
      </c>
      <c r="B22" s="122" t="s">
        <v>1268</v>
      </c>
      <c r="C22" t="s">
        <v>16</v>
      </c>
      <c r="D22" t="s">
        <v>318</v>
      </c>
      <c r="F22" t="s">
        <v>326</v>
      </c>
      <c r="G22">
        <f t="shared" si="0"/>
        <v>1034</v>
      </c>
      <c r="H22" t="str">
        <f t="shared" si="1"/>
        <v>`     GCredit can borrow cash</v>
      </c>
      <c r="I22" t="s">
        <v>522</v>
      </c>
      <c r="J22" t="str">
        <f t="shared" si="2"/>
        <v>&lt;G1P&gt;`     GCredit can borrow cash</v>
      </c>
    </row>
    <row r="23" spans="1:10" x14ac:dyDescent="0.25">
      <c r="A23" s="121">
        <v>1050</v>
      </c>
      <c r="B23" s="122" t="s">
        <v>1269</v>
      </c>
      <c r="C23" t="s">
        <v>16</v>
      </c>
      <c r="D23" t="s">
        <v>318</v>
      </c>
      <c r="F23" t="s">
        <v>326</v>
      </c>
      <c r="G23">
        <f t="shared" si="0"/>
        <v>1050</v>
      </c>
      <c r="H23" t="str">
        <f t="shared" si="1"/>
        <v>`     Gives GCredit</v>
      </c>
      <c r="I23" t="s">
        <v>522</v>
      </c>
      <c r="J23" t="str">
        <f t="shared" si="2"/>
        <v>&lt;G1P&gt;`     Gives GCredit</v>
      </c>
    </row>
    <row r="24" spans="1:10" x14ac:dyDescent="0.25">
      <c r="A24" s="121">
        <v>1032</v>
      </c>
      <c r="B24" s="122" t="s">
        <v>1270</v>
      </c>
      <c r="C24" t="s">
        <v>16</v>
      </c>
      <c r="D24" t="s">
        <v>318</v>
      </c>
      <c r="F24" t="s">
        <v>326</v>
      </c>
      <c r="G24">
        <f t="shared" si="0"/>
        <v>1032</v>
      </c>
      <c r="H24" t="str">
        <f t="shared" si="1"/>
        <v>`     GCredit is easy with GCash</v>
      </c>
      <c r="I24" t="s">
        <v>522</v>
      </c>
      <c r="J24" t="str">
        <f t="shared" si="2"/>
        <v>&lt;G1P&gt;`     GCredit is easy with GCash</v>
      </c>
    </row>
    <row r="25" spans="1:10" x14ac:dyDescent="0.25">
      <c r="A25" s="121">
        <v>1035</v>
      </c>
      <c r="B25" s="122" t="s">
        <v>1271</v>
      </c>
      <c r="C25" t="s">
        <v>16</v>
      </c>
      <c r="D25" t="s">
        <v>318</v>
      </c>
      <c r="F25" t="s">
        <v>326</v>
      </c>
      <c r="G25">
        <f t="shared" si="0"/>
        <v>1035</v>
      </c>
      <c r="H25" t="str">
        <f t="shared" si="1"/>
        <v>`     In times of need, borrow from GCredit</v>
      </c>
      <c r="I25" t="s">
        <v>522</v>
      </c>
      <c r="J25" t="str">
        <f t="shared" si="2"/>
        <v>&lt;G1P&gt;`     In times of need, borrow from GCredit</v>
      </c>
    </row>
    <row r="26" spans="1:10" x14ac:dyDescent="0.25">
      <c r="A26" s="126">
        <v>1074</v>
      </c>
      <c r="B26" s="127" t="s">
        <v>1272</v>
      </c>
      <c r="C26" t="s">
        <v>16</v>
      </c>
      <c r="D26" t="s">
        <v>318</v>
      </c>
      <c r="F26" t="s">
        <v>326</v>
      </c>
      <c r="G26">
        <f t="shared" si="0"/>
        <v>1074</v>
      </c>
      <c r="H26" t="str">
        <f t="shared" si="1"/>
        <v>`     Today Gcredit</v>
      </c>
      <c r="I26" t="s">
        <v>521</v>
      </c>
      <c r="J26" t="str">
        <f t="shared" si="2"/>
        <v>&lt;G2E&gt;&lt;G1P&gt;`     Today Gcredit</v>
      </c>
    </row>
    <row r="27" spans="1:10" ht="15.75" x14ac:dyDescent="0.25">
      <c r="A27" s="116" t="s">
        <v>1341</v>
      </c>
      <c r="B27" s="117" t="s">
        <v>1273</v>
      </c>
      <c r="C27" t="s">
        <v>6</v>
      </c>
      <c r="D27" t="s">
        <v>323</v>
      </c>
      <c r="E27" t="s">
        <v>322</v>
      </c>
      <c r="F27" t="s">
        <v>327</v>
      </c>
      <c r="G27" t="str">
        <f t="shared" si="0"/>
        <v>1067+1068+1069+1070+1071+1072+1081</v>
      </c>
      <c r="H27" t="str">
        <f t="shared" si="1"/>
        <v>`GLOAN (NET)&lt;Q&gt;</v>
      </c>
      <c r="J27" t="str">
        <f t="shared" si="2"/>
        <v>`GLOAN (NET)&lt;Q&gt;</v>
      </c>
    </row>
    <row r="28" spans="1:10" x14ac:dyDescent="0.25">
      <c r="A28" s="126">
        <v>1067</v>
      </c>
      <c r="B28" s="127" t="s">
        <v>437</v>
      </c>
      <c r="C28" t="s">
        <v>16</v>
      </c>
      <c r="D28" t="s">
        <v>318</v>
      </c>
      <c r="F28" t="s">
        <v>326</v>
      </c>
      <c r="G28">
        <f t="shared" si="0"/>
        <v>1067</v>
      </c>
      <c r="H28" t="str">
        <f t="shared" si="1"/>
        <v>`     Gloan</v>
      </c>
      <c r="I28" t="s">
        <v>520</v>
      </c>
      <c r="J28" t="str">
        <f t="shared" si="2"/>
        <v>&lt;G2B&gt;&lt;G1P&gt;`     Gloan</v>
      </c>
    </row>
    <row r="29" spans="1:10" x14ac:dyDescent="0.25">
      <c r="A29" s="126">
        <v>1068</v>
      </c>
      <c r="B29" s="127" t="s">
        <v>1274</v>
      </c>
      <c r="C29" t="s">
        <v>16</v>
      </c>
      <c r="D29" t="s">
        <v>318</v>
      </c>
      <c r="F29" t="s">
        <v>326</v>
      </c>
      <c r="G29">
        <f t="shared" si="0"/>
        <v>1068</v>
      </c>
      <c r="H29" t="str">
        <f t="shared" si="1"/>
        <v>`     Gloan Credit</v>
      </c>
      <c r="I29" t="s">
        <v>522</v>
      </c>
      <c r="J29" t="str">
        <f t="shared" si="2"/>
        <v>&lt;G1P&gt;`     Gloan Credit</v>
      </c>
    </row>
    <row r="30" spans="1:10" x14ac:dyDescent="0.25">
      <c r="A30" s="126">
        <v>1069</v>
      </c>
      <c r="B30" s="127" t="s">
        <v>1275</v>
      </c>
      <c r="C30" t="s">
        <v>16</v>
      </c>
      <c r="D30" t="s">
        <v>318</v>
      </c>
      <c r="F30" t="s">
        <v>326</v>
      </c>
      <c r="G30">
        <f t="shared" si="0"/>
        <v>1069</v>
      </c>
      <c r="H30" t="str">
        <f t="shared" si="1"/>
        <v>`     Gloan Credit in Gcash</v>
      </c>
      <c r="I30" t="s">
        <v>522</v>
      </c>
      <c r="J30" t="str">
        <f t="shared" si="2"/>
        <v>&lt;G1P&gt;`     Gloan Credit in Gcash</v>
      </c>
    </row>
    <row r="31" spans="1:10" x14ac:dyDescent="0.25">
      <c r="A31" s="126">
        <v>1070</v>
      </c>
      <c r="B31" s="127" t="s">
        <v>1276</v>
      </c>
      <c r="C31" t="s">
        <v>16</v>
      </c>
      <c r="D31" t="s">
        <v>318</v>
      </c>
      <c r="F31" t="s">
        <v>326</v>
      </c>
      <c r="G31">
        <f t="shared" si="0"/>
        <v>1070</v>
      </c>
      <c r="H31" t="str">
        <f t="shared" si="1"/>
        <v>`     Gloan Water bill</v>
      </c>
      <c r="I31" t="s">
        <v>522</v>
      </c>
      <c r="J31" t="str">
        <f t="shared" si="2"/>
        <v>&lt;G1P&gt;`     Gloan Water bill</v>
      </c>
    </row>
    <row r="32" spans="1:10" x14ac:dyDescent="0.25">
      <c r="A32" s="126">
        <v>1071</v>
      </c>
      <c r="B32" s="127" t="s">
        <v>1277</v>
      </c>
      <c r="C32" t="s">
        <v>16</v>
      </c>
      <c r="D32" t="s">
        <v>318</v>
      </c>
      <c r="F32" t="s">
        <v>326</v>
      </c>
      <c r="G32">
        <f t="shared" si="0"/>
        <v>1071</v>
      </c>
      <c r="H32" t="str">
        <f t="shared" si="1"/>
        <v>`     Gloan easy to use for payment bills</v>
      </c>
      <c r="I32" t="s">
        <v>522</v>
      </c>
      <c r="J32" t="str">
        <f t="shared" si="2"/>
        <v>&lt;G1P&gt;`     Gloan easy to use for payment bills</v>
      </c>
    </row>
    <row r="33" spans="1:10" x14ac:dyDescent="0.25">
      <c r="A33" s="126">
        <v>1072</v>
      </c>
      <c r="B33" s="127" t="s">
        <v>1278</v>
      </c>
      <c r="C33" t="s">
        <v>16</v>
      </c>
      <c r="D33" t="s">
        <v>318</v>
      </c>
      <c r="F33" t="s">
        <v>326</v>
      </c>
      <c r="G33">
        <f t="shared" si="0"/>
        <v>1072</v>
      </c>
      <c r="H33" t="str">
        <f t="shared" si="1"/>
        <v>`     Instant Credit line by Gloan</v>
      </c>
      <c r="I33" t="s">
        <v>522</v>
      </c>
      <c r="J33" t="str">
        <f t="shared" si="2"/>
        <v>&lt;G1P&gt;`     Instant Credit line by Gloan</v>
      </c>
    </row>
    <row r="34" spans="1:10" x14ac:dyDescent="0.25">
      <c r="A34" s="126">
        <v>1081</v>
      </c>
      <c r="B34" s="127" t="s">
        <v>1279</v>
      </c>
      <c r="C34" t="s">
        <v>16</v>
      </c>
      <c r="D34" t="s">
        <v>318</v>
      </c>
      <c r="F34" t="s">
        <v>326</v>
      </c>
      <c r="G34">
        <f t="shared" ref="G34:G65" si="3">IF(A34="","",A34)</f>
        <v>1081</v>
      </c>
      <c r="H34" t="str">
        <f t="shared" ref="H34:H65" si="4">_xlfn.CONCAT(D34,SUBSTITUTE(B34,"""","`"""),E34)</f>
        <v>`     Gloan to Gcash</v>
      </c>
      <c r="I34" t="s">
        <v>521</v>
      </c>
      <c r="J34" t="str">
        <f t="shared" ref="J34:J65" si="5">_xlfn.CONCAT(I34,H34)</f>
        <v>&lt;G2E&gt;&lt;G1P&gt;`     Gloan to Gcash</v>
      </c>
    </row>
    <row r="35" spans="1:10" ht="28.5" x14ac:dyDescent="0.25">
      <c r="A35" s="116" t="s">
        <v>1342</v>
      </c>
      <c r="B35" s="117" t="s">
        <v>1280</v>
      </c>
      <c r="C35" t="s">
        <v>6</v>
      </c>
      <c r="D35" t="s">
        <v>323</v>
      </c>
      <c r="E35" t="s">
        <v>322</v>
      </c>
      <c r="F35" t="s">
        <v>327</v>
      </c>
      <c r="G35" t="str">
        <f t="shared" si="3"/>
        <v>1012+1013+1027+1029+1039+1043+1061+1063</v>
      </c>
      <c r="H35" t="str">
        <f t="shared" si="4"/>
        <v>`INSTANT LOANS FROM GCASH (NET)&lt;Q&gt;</v>
      </c>
      <c r="J35" t="str">
        <f t="shared" si="5"/>
        <v>`INSTANT LOANS FROM GCASH (NET)&lt;Q&gt;</v>
      </c>
    </row>
    <row r="36" spans="1:10" x14ac:dyDescent="0.25">
      <c r="A36" s="116">
        <v>1012</v>
      </c>
      <c r="B36" s="118" t="s">
        <v>1281</v>
      </c>
      <c r="C36" t="s">
        <v>16</v>
      </c>
      <c r="D36" t="s">
        <v>318</v>
      </c>
      <c r="F36" t="s">
        <v>326</v>
      </c>
      <c r="G36">
        <f t="shared" si="3"/>
        <v>1012</v>
      </c>
      <c r="H36" t="str">
        <f t="shared" si="4"/>
        <v>`     Can borrow instantly from GCash</v>
      </c>
      <c r="I36" t="s">
        <v>520</v>
      </c>
      <c r="J36" t="str">
        <f t="shared" si="5"/>
        <v>&lt;G2B&gt;&lt;G1P&gt;`     Can borrow instantly from GCash</v>
      </c>
    </row>
    <row r="37" spans="1:10" x14ac:dyDescent="0.25">
      <c r="A37" s="116">
        <v>1013</v>
      </c>
      <c r="B37" s="118" t="s">
        <v>1282</v>
      </c>
      <c r="C37" t="s">
        <v>16</v>
      </c>
      <c r="D37" t="s">
        <v>318</v>
      </c>
      <c r="F37" t="s">
        <v>326</v>
      </c>
      <c r="G37">
        <f t="shared" si="3"/>
        <v>1013</v>
      </c>
      <c r="H37" t="str">
        <f t="shared" si="4"/>
        <v>`     Instant loan from GCredit</v>
      </c>
      <c r="I37" t="s">
        <v>522</v>
      </c>
      <c r="J37" t="str">
        <f t="shared" si="5"/>
        <v>&lt;G1P&gt;`     Instant loan from GCredit</v>
      </c>
    </row>
    <row r="38" spans="1:10" x14ac:dyDescent="0.25">
      <c r="A38" s="121">
        <v>1027</v>
      </c>
      <c r="B38" s="122" t="s">
        <v>1283</v>
      </c>
      <c r="C38" t="s">
        <v>16</v>
      </c>
      <c r="D38" t="s">
        <v>318</v>
      </c>
      <c r="F38" t="s">
        <v>326</v>
      </c>
      <c r="G38">
        <f t="shared" si="3"/>
        <v>1027</v>
      </c>
      <c r="H38" t="str">
        <f t="shared" si="4"/>
        <v>`     Credits in GCash</v>
      </c>
      <c r="I38" t="s">
        <v>522</v>
      </c>
      <c r="J38" t="str">
        <f t="shared" si="5"/>
        <v>&lt;G1P&gt;`     Credits in GCash</v>
      </c>
    </row>
    <row r="39" spans="1:10" x14ac:dyDescent="0.25">
      <c r="A39" s="121">
        <v>1029</v>
      </c>
      <c r="B39" s="122" t="s">
        <v>1284</v>
      </c>
      <c r="C39" t="s">
        <v>16</v>
      </c>
      <c r="D39" t="s">
        <v>318</v>
      </c>
      <c r="F39" t="s">
        <v>326</v>
      </c>
      <c r="G39">
        <f t="shared" si="3"/>
        <v>1029</v>
      </c>
      <c r="H39" t="str">
        <f t="shared" si="4"/>
        <v>`     GCash loan</v>
      </c>
      <c r="I39" t="s">
        <v>522</v>
      </c>
      <c r="J39" t="str">
        <f t="shared" si="5"/>
        <v>&lt;G1P&gt;`     GCash loan</v>
      </c>
    </row>
    <row r="40" spans="1:10" x14ac:dyDescent="0.25">
      <c r="A40" s="121">
        <v>1039</v>
      </c>
      <c r="B40" s="122" t="s">
        <v>1285</v>
      </c>
      <c r="C40" t="s">
        <v>16</v>
      </c>
      <c r="D40" t="s">
        <v>318</v>
      </c>
      <c r="F40" t="s">
        <v>326</v>
      </c>
      <c r="G40">
        <f t="shared" si="3"/>
        <v>1039</v>
      </c>
      <c r="H40" t="str">
        <f t="shared" si="4"/>
        <v>`     Instant Credit line</v>
      </c>
      <c r="I40" t="s">
        <v>522</v>
      </c>
      <c r="J40" t="str">
        <f t="shared" si="5"/>
        <v>&lt;G1P&gt;`     Instant Credit line</v>
      </c>
    </row>
    <row r="41" spans="1:10" x14ac:dyDescent="0.25">
      <c r="A41" s="121">
        <v>1043</v>
      </c>
      <c r="B41" s="122" t="s">
        <v>1286</v>
      </c>
      <c r="C41" t="s">
        <v>16</v>
      </c>
      <c r="D41" t="s">
        <v>318</v>
      </c>
      <c r="F41" t="s">
        <v>326</v>
      </c>
      <c r="G41">
        <f t="shared" si="3"/>
        <v>1043</v>
      </c>
      <c r="H41" t="str">
        <f t="shared" si="4"/>
        <v>`     Fast process</v>
      </c>
      <c r="I41" t="s">
        <v>522</v>
      </c>
      <c r="J41" t="str">
        <f t="shared" si="5"/>
        <v>&lt;G1P&gt;`     Fast process</v>
      </c>
    </row>
    <row r="42" spans="1:10" x14ac:dyDescent="0.25">
      <c r="A42" s="121">
        <v>1061</v>
      </c>
      <c r="B42" s="122" t="s">
        <v>1270</v>
      </c>
      <c r="C42" t="s">
        <v>16</v>
      </c>
      <c r="D42" t="s">
        <v>318</v>
      </c>
      <c r="F42" t="s">
        <v>326</v>
      </c>
      <c r="G42">
        <f t="shared" si="3"/>
        <v>1061</v>
      </c>
      <c r="H42" t="str">
        <f t="shared" si="4"/>
        <v>`     GCredit is easy with GCash</v>
      </c>
      <c r="I42" t="s">
        <v>522</v>
      </c>
      <c r="J42" t="str">
        <f t="shared" si="5"/>
        <v>&lt;G1P&gt;`     GCredit is easy with GCash</v>
      </c>
    </row>
    <row r="43" spans="1:10" x14ac:dyDescent="0.25">
      <c r="A43" s="126">
        <v>1063</v>
      </c>
      <c r="B43" s="127" t="s">
        <v>1287</v>
      </c>
      <c r="C43" t="s">
        <v>16</v>
      </c>
      <c r="D43" t="s">
        <v>318</v>
      </c>
      <c r="F43" t="s">
        <v>326</v>
      </c>
      <c r="G43">
        <f t="shared" si="3"/>
        <v>1063</v>
      </c>
      <c r="H43" t="str">
        <f t="shared" si="4"/>
        <v>`     Borrow Gcash in Credit line</v>
      </c>
      <c r="I43" t="s">
        <v>521</v>
      </c>
      <c r="J43" t="str">
        <f t="shared" si="5"/>
        <v>&lt;G2E&gt;&lt;G1P&gt;`     Borrow Gcash in Credit line</v>
      </c>
    </row>
    <row r="44" spans="1:10" ht="15.75" x14ac:dyDescent="0.25">
      <c r="A44" s="116" t="s">
        <v>1343</v>
      </c>
      <c r="B44" s="117" t="s">
        <v>1288</v>
      </c>
      <c r="C44" t="s">
        <v>6</v>
      </c>
      <c r="D44" t="s">
        <v>323</v>
      </c>
      <c r="E44" t="s">
        <v>322</v>
      </c>
      <c r="F44" t="s">
        <v>327</v>
      </c>
      <c r="G44" t="str">
        <f t="shared" si="3"/>
        <v>1014+1075</v>
      </c>
      <c r="H44" t="str">
        <f t="shared" si="4"/>
        <v>`GCASH IS RELIABLE  (NET)&lt;Q&gt;</v>
      </c>
      <c r="J44" t="str">
        <f t="shared" si="5"/>
        <v>`GCASH IS RELIABLE  (NET)&lt;Q&gt;</v>
      </c>
    </row>
    <row r="45" spans="1:10" x14ac:dyDescent="0.25">
      <c r="A45" s="116">
        <v>1014</v>
      </c>
      <c r="B45" s="118" t="s">
        <v>1289</v>
      </c>
      <c r="C45" t="s">
        <v>16</v>
      </c>
      <c r="D45" t="s">
        <v>318</v>
      </c>
      <c r="F45" t="s">
        <v>326</v>
      </c>
      <c r="G45">
        <f t="shared" si="3"/>
        <v>1014</v>
      </c>
      <c r="H45" t="str">
        <f t="shared" si="4"/>
        <v>`     GCash is always reliable</v>
      </c>
      <c r="I45" t="s">
        <v>520</v>
      </c>
      <c r="J45" t="str">
        <f t="shared" si="5"/>
        <v>&lt;G2B&gt;&lt;G1P&gt;`     GCash is always reliable</v>
      </c>
    </row>
    <row r="46" spans="1:10" x14ac:dyDescent="0.25">
      <c r="A46" s="123">
        <v>1075</v>
      </c>
      <c r="B46" s="124" t="s">
        <v>1290</v>
      </c>
      <c r="C46" t="s">
        <v>16</v>
      </c>
      <c r="D46" t="s">
        <v>318</v>
      </c>
      <c r="F46" t="s">
        <v>326</v>
      </c>
      <c r="G46">
        <f t="shared" si="3"/>
        <v>1075</v>
      </c>
      <c r="H46" t="str">
        <f t="shared" si="4"/>
        <v>`     Relialable use of everyone</v>
      </c>
      <c r="I46" t="s">
        <v>521</v>
      </c>
      <c r="J46" t="str">
        <f t="shared" si="5"/>
        <v>&lt;G2E&gt;&lt;G1P&gt;`     Relialable use of everyone</v>
      </c>
    </row>
    <row r="47" spans="1:10" ht="15.75" x14ac:dyDescent="0.25">
      <c r="A47" s="116">
        <v>1066</v>
      </c>
      <c r="B47" s="117" t="s">
        <v>1291</v>
      </c>
      <c r="C47" t="s">
        <v>6</v>
      </c>
      <c r="D47" t="s">
        <v>323</v>
      </c>
      <c r="E47" t="s">
        <v>322</v>
      </c>
      <c r="F47" t="s">
        <v>327</v>
      </c>
      <c r="G47">
        <f t="shared" si="3"/>
        <v>1066</v>
      </c>
      <c r="H47" t="str">
        <f t="shared" si="4"/>
        <v>`GCREDIT IS RELIABLE  (NET)&lt;Q&gt;</v>
      </c>
      <c r="J47" t="str">
        <f t="shared" si="5"/>
        <v>`GCREDIT IS RELIABLE  (NET)&lt;Q&gt;</v>
      </c>
    </row>
    <row r="48" spans="1:10" x14ac:dyDescent="0.25">
      <c r="A48" s="123">
        <v>1066</v>
      </c>
      <c r="B48" s="124" t="s">
        <v>1292</v>
      </c>
      <c r="C48" t="s">
        <v>16</v>
      </c>
      <c r="D48" t="s">
        <v>318</v>
      </c>
      <c r="F48" t="s">
        <v>326</v>
      </c>
      <c r="G48">
        <f t="shared" si="3"/>
        <v>1066</v>
      </c>
      <c r="H48" t="str">
        <f t="shared" si="4"/>
        <v>`     GCredit is always reliable</v>
      </c>
      <c r="I48" t="s">
        <v>522</v>
      </c>
      <c r="J48" t="str">
        <f t="shared" si="5"/>
        <v>&lt;G1P&gt;`     GCredit is always reliable</v>
      </c>
    </row>
    <row r="49" spans="1:10" ht="15.75" x14ac:dyDescent="0.25">
      <c r="A49" s="116" t="s">
        <v>1344</v>
      </c>
      <c r="B49" s="117" t="s">
        <v>384</v>
      </c>
      <c r="C49" t="s">
        <v>6</v>
      </c>
      <c r="D49" t="s">
        <v>323</v>
      </c>
      <c r="E49" t="s">
        <v>322</v>
      </c>
      <c r="F49" t="s">
        <v>327</v>
      </c>
      <c r="G49" t="str">
        <f t="shared" si="3"/>
        <v>1015+1045+1046+1091</v>
      </c>
      <c r="H49" t="str">
        <f t="shared" si="4"/>
        <v>`CONVENIENCE (NET)&lt;Q&gt;</v>
      </c>
      <c r="J49" t="str">
        <f t="shared" si="5"/>
        <v>`CONVENIENCE (NET)&lt;Q&gt;</v>
      </c>
    </row>
    <row r="50" spans="1:10" ht="28.5" x14ac:dyDescent="0.25">
      <c r="A50" s="116">
        <v>1015</v>
      </c>
      <c r="B50" s="118" t="s">
        <v>1250</v>
      </c>
      <c r="C50" t="s">
        <v>16</v>
      </c>
      <c r="D50" t="s">
        <v>318</v>
      </c>
      <c r="F50" t="s">
        <v>326</v>
      </c>
      <c r="G50">
        <f t="shared" si="3"/>
        <v>1015</v>
      </c>
      <c r="H50" t="str">
        <f t="shared" si="4"/>
        <v>`     You won’t run out of water anymore because you can borrow money from GCash using GCredit</v>
      </c>
      <c r="I50" t="s">
        <v>520</v>
      </c>
      <c r="J50" t="str">
        <f t="shared" si="5"/>
        <v>&lt;G2B&gt;&lt;G1P&gt;`     You won’t run out of water anymore because you can borrow money from GCash using GCredit</v>
      </c>
    </row>
    <row r="51" spans="1:10" x14ac:dyDescent="0.25">
      <c r="A51" s="121">
        <v>1045</v>
      </c>
      <c r="B51" s="122" t="s">
        <v>1293</v>
      </c>
      <c r="C51" t="s">
        <v>16</v>
      </c>
      <c r="D51" t="s">
        <v>318</v>
      </c>
      <c r="F51" t="s">
        <v>326</v>
      </c>
      <c r="G51">
        <f t="shared" si="3"/>
        <v>1045</v>
      </c>
      <c r="H51" t="str">
        <f t="shared" si="4"/>
        <v>`     It's easier to pay for electricity</v>
      </c>
      <c r="I51" t="s">
        <v>522</v>
      </c>
      <c r="J51" t="str">
        <f t="shared" si="5"/>
        <v>&lt;G1P&gt;`     It's easier to pay for electricity</v>
      </c>
    </row>
    <row r="52" spans="1:10" x14ac:dyDescent="0.25">
      <c r="A52" s="121">
        <v>1046</v>
      </c>
      <c r="B52" s="122" t="s">
        <v>1294</v>
      </c>
      <c r="C52" t="s">
        <v>16</v>
      </c>
      <c r="D52" t="s">
        <v>318</v>
      </c>
      <c r="F52" t="s">
        <v>326</v>
      </c>
      <c r="G52">
        <f t="shared" si="3"/>
        <v>1046</v>
      </c>
      <c r="H52" t="str">
        <f t="shared" si="4"/>
        <v>`     No need to go outside</v>
      </c>
      <c r="I52" t="s">
        <v>522</v>
      </c>
      <c r="J52" t="str">
        <f t="shared" si="5"/>
        <v>&lt;G1P&gt;`     No need to go outside</v>
      </c>
    </row>
    <row r="53" spans="1:10" x14ac:dyDescent="0.25">
      <c r="A53" s="123">
        <v>1091</v>
      </c>
      <c r="B53" s="124" t="s">
        <v>1295</v>
      </c>
      <c r="C53" t="s">
        <v>16</v>
      </c>
      <c r="D53" t="s">
        <v>318</v>
      </c>
      <c r="F53" t="s">
        <v>326</v>
      </c>
      <c r="G53">
        <f t="shared" si="3"/>
        <v>1091</v>
      </c>
      <c r="H53" t="str">
        <f t="shared" si="4"/>
        <v>`     Gcash is very convenient</v>
      </c>
      <c r="I53" t="s">
        <v>521</v>
      </c>
      <c r="J53" t="str">
        <f t="shared" si="5"/>
        <v>&lt;G2E&gt;&lt;G1P&gt;`     Gcash is very convenient</v>
      </c>
    </row>
    <row r="54" spans="1:10" ht="15.75" x14ac:dyDescent="0.25">
      <c r="A54" s="116" t="s">
        <v>1345</v>
      </c>
      <c r="B54" s="117" t="s">
        <v>1296</v>
      </c>
      <c r="C54" t="s">
        <v>6</v>
      </c>
      <c r="D54" t="s">
        <v>323</v>
      </c>
      <c r="E54" t="s">
        <v>322</v>
      </c>
      <c r="F54" t="s">
        <v>327</v>
      </c>
      <c r="G54" t="str">
        <f t="shared" si="3"/>
        <v>1016+1017</v>
      </c>
      <c r="H54" t="str">
        <f t="shared" si="4"/>
        <v>`BORROW FROM GCASH (NET)&lt;Q&gt;</v>
      </c>
      <c r="J54" t="str">
        <f t="shared" si="5"/>
        <v>`BORROW FROM GCASH (NET)&lt;Q&gt;</v>
      </c>
    </row>
    <row r="55" spans="1:10" x14ac:dyDescent="0.25">
      <c r="A55" s="116">
        <v>1016</v>
      </c>
      <c r="B55" s="118" t="s">
        <v>1297</v>
      </c>
      <c r="C55" t="s">
        <v>16</v>
      </c>
      <c r="D55" t="s">
        <v>318</v>
      </c>
      <c r="F55" t="s">
        <v>326</v>
      </c>
      <c r="G55">
        <f t="shared" si="3"/>
        <v>1016</v>
      </c>
      <c r="H55" t="str">
        <f t="shared" si="4"/>
        <v>`     In times of need, borrow from GCash</v>
      </c>
      <c r="I55" t="s">
        <v>520</v>
      </c>
      <c r="J55" t="str">
        <f t="shared" si="5"/>
        <v>&lt;G2B&gt;&lt;G1P&gt;`     In times of need, borrow from GCash</v>
      </c>
    </row>
    <row r="56" spans="1:10" x14ac:dyDescent="0.25">
      <c r="A56" s="116">
        <v>1017</v>
      </c>
      <c r="B56" s="118" t="s">
        <v>1298</v>
      </c>
      <c r="C56" t="s">
        <v>16</v>
      </c>
      <c r="D56" t="s">
        <v>318</v>
      </c>
      <c r="F56" t="s">
        <v>326</v>
      </c>
      <c r="G56">
        <f t="shared" si="3"/>
        <v>1017</v>
      </c>
      <c r="H56" t="str">
        <f t="shared" si="4"/>
        <v>`     Can borrow from GCash</v>
      </c>
      <c r="I56" t="s">
        <v>521</v>
      </c>
      <c r="J56" t="str">
        <f t="shared" si="5"/>
        <v>&lt;G2E&gt;&lt;G1P&gt;`     Can borrow from GCash</v>
      </c>
    </row>
    <row r="57" spans="1:10" ht="15.75" x14ac:dyDescent="0.25">
      <c r="A57" s="116" t="s">
        <v>1346</v>
      </c>
      <c r="B57" s="117" t="s">
        <v>738</v>
      </c>
      <c r="C57" t="s">
        <v>6</v>
      </c>
      <c r="D57" t="s">
        <v>323</v>
      </c>
      <c r="E57" t="s">
        <v>322</v>
      </c>
      <c r="F57" t="s">
        <v>327</v>
      </c>
      <c r="G57" t="str">
        <f t="shared" si="3"/>
        <v>1018+1042+1033+1077</v>
      </c>
      <c r="H57" t="str">
        <f t="shared" si="4"/>
        <v>`EASE OF USE (NET)&lt;Q&gt;</v>
      </c>
      <c r="J57" t="str">
        <f t="shared" si="5"/>
        <v>`EASE OF USE (NET)&lt;Q&gt;</v>
      </c>
    </row>
    <row r="58" spans="1:10" x14ac:dyDescent="0.25">
      <c r="A58" s="116">
        <v>1018</v>
      </c>
      <c r="B58" s="118" t="s">
        <v>748</v>
      </c>
      <c r="C58" t="s">
        <v>16</v>
      </c>
      <c r="D58" t="s">
        <v>318</v>
      </c>
      <c r="F58" t="s">
        <v>326</v>
      </c>
      <c r="G58">
        <f t="shared" si="3"/>
        <v>1018</v>
      </c>
      <c r="H58" t="str">
        <f t="shared" si="4"/>
        <v>`     Easy to use GCash</v>
      </c>
      <c r="I58" t="s">
        <v>520</v>
      </c>
      <c r="J58" t="str">
        <f t="shared" si="5"/>
        <v>&lt;G2B&gt;&lt;G1P&gt;`     Easy to use GCash</v>
      </c>
    </row>
    <row r="59" spans="1:10" x14ac:dyDescent="0.25">
      <c r="A59" s="121">
        <v>1042</v>
      </c>
      <c r="B59" s="122" t="s">
        <v>1124</v>
      </c>
      <c r="C59" t="s">
        <v>16</v>
      </c>
      <c r="D59" t="s">
        <v>318</v>
      </c>
      <c r="F59" t="s">
        <v>326</v>
      </c>
      <c r="G59">
        <f t="shared" si="3"/>
        <v>1042</v>
      </c>
      <c r="H59" t="str">
        <f t="shared" si="4"/>
        <v>`     Easy to loan</v>
      </c>
      <c r="I59" t="s">
        <v>522</v>
      </c>
      <c r="J59" t="str">
        <f t="shared" si="5"/>
        <v>&lt;G1P&gt;`     Easy to loan</v>
      </c>
    </row>
    <row r="60" spans="1:10" x14ac:dyDescent="0.25">
      <c r="A60" s="121">
        <v>1033</v>
      </c>
      <c r="B60" s="122" t="s">
        <v>412</v>
      </c>
      <c r="C60" t="s">
        <v>16</v>
      </c>
      <c r="D60" t="s">
        <v>318</v>
      </c>
      <c r="F60" t="s">
        <v>326</v>
      </c>
      <c r="G60">
        <f t="shared" si="3"/>
        <v>1033</v>
      </c>
      <c r="H60" t="str">
        <f t="shared" si="4"/>
        <v>`     Fast transaction</v>
      </c>
      <c r="I60" t="s">
        <v>522</v>
      </c>
      <c r="J60" t="str">
        <f t="shared" si="5"/>
        <v>&lt;G1P&gt;`     Fast transaction</v>
      </c>
    </row>
    <row r="61" spans="1:10" x14ac:dyDescent="0.25">
      <c r="A61" s="123">
        <v>1077</v>
      </c>
      <c r="B61" s="124" t="s">
        <v>1299</v>
      </c>
      <c r="C61" t="s">
        <v>16</v>
      </c>
      <c r="D61" t="s">
        <v>318</v>
      </c>
      <c r="F61" t="s">
        <v>326</v>
      </c>
      <c r="G61">
        <f t="shared" si="3"/>
        <v>1077</v>
      </c>
      <c r="H61" t="str">
        <f t="shared" si="4"/>
        <v>`     Fast transaction using Gcredit</v>
      </c>
      <c r="I61" t="s">
        <v>521</v>
      </c>
      <c r="J61" t="str">
        <f t="shared" si="5"/>
        <v>&lt;G2E&gt;&lt;G1P&gt;`     Fast transaction using Gcredit</v>
      </c>
    </row>
    <row r="62" spans="1:10" ht="15.75" x14ac:dyDescent="0.25">
      <c r="A62" s="116" t="s">
        <v>1347</v>
      </c>
      <c r="B62" s="117" t="s">
        <v>1300</v>
      </c>
      <c r="C62" t="s">
        <v>6</v>
      </c>
      <c r="D62" t="s">
        <v>323</v>
      </c>
      <c r="E62" t="s">
        <v>322</v>
      </c>
      <c r="F62" t="s">
        <v>327</v>
      </c>
      <c r="G62" t="str">
        <f t="shared" si="3"/>
        <v>1019+1040+1041+1049+1058+1062</v>
      </c>
      <c r="H62" t="str">
        <f t="shared" si="4"/>
        <v>`CAN LOAN WHEN IN NEED OF CASH (NET)&lt;Q&gt;</v>
      </c>
      <c r="J62" t="str">
        <f t="shared" si="5"/>
        <v>`CAN LOAN WHEN IN NEED OF CASH (NET)&lt;Q&gt;</v>
      </c>
    </row>
    <row r="63" spans="1:10" x14ac:dyDescent="0.25">
      <c r="A63" s="116">
        <v>1019</v>
      </c>
      <c r="B63" s="118" t="s">
        <v>1301</v>
      </c>
      <c r="C63" t="s">
        <v>16</v>
      </c>
      <c r="D63" t="s">
        <v>318</v>
      </c>
      <c r="F63" t="s">
        <v>326</v>
      </c>
      <c r="G63">
        <f t="shared" si="3"/>
        <v>1019</v>
      </c>
      <c r="H63" t="str">
        <f t="shared" si="4"/>
        <v>`     Can loan when in need of cash</v>
      </c>
      <c r="I63" t="s">
        <v>520</v>
      </c>
      <c r="J63" t="str">
        <f t="shared" si="5"/>
        <v>&lt;G2B&gt;&lt;G1P&gt;`     Can loan when in need of cash</v>
      </c>
    </row>
    <row r="64" spans="1:10" x14ac:dyDescent="0.25">
      <c r="A64" s="121">
        <v>1040</v>
      </c>
      <c r="B64" s="122" t="s">
        <v>1302</v>
      </c>
      <c r="C64" t="s">
        <v>16</v>
      </c>
      <c r="D64" t="s">
        <v>318</v>
      </c>
      <c r="F64" t="s">
        <v>326</v>
      </c>
      <c r="G64">
        <f t="shared" si="3"/>
        <v>1040</v>
      </c>
      <c r="H64" t="str">
        <f t="shared" si="4"/>
        <v>`     In times of need for house expenses , GCash has loan offer</v>
      </c>
      <c r="I64" t="s">
        <v>522</v>
      </c>
      <c r="J64" t="str">
        <f t="shared" si="5"/>
        <v>&lt;G1P&gt;`     In times of need for house expenses , GCash has loan offer</v>
      </c>
    </row>
    <row r="65" spans="1:10" ht="28.5" x14ac:dyDescent="0.25">
      <c r="A65" s="121">
        <v>1041</v>
      </c>
      <c r="B65" s="122" t="s">
        <v>1303</v>
      </c>
      <c r="C65" t="s">
        <v>16</v>
      </c>
      <c r="D65" t="s">
        <v>318</v>
      </c>
      <c r="F65" t="s">
        <v>326</v>
      </c>
      <c r="G65">
        <f t="shared" si="3"/>
        <v>1041</v>
      </c>
      <c r="H65" t="str">
        <f t="shared" si="4"/>
        <v>`     Can borrow 1k to 50k with a GCash loan Credit loan to pay house bills</v>
      </c>
      <c r="I65" t="s">
        <v>522</v>
      </c>
      <c r="J65" t="str">
        <f t="shared" si="5"/>
        <v>&lt;G1P&gt;`     Can borrow 1k to 50k with a GCash loan Credit loan to pay house bills</v>
      </c>
    </row>
    <row r="66" spans="1:10" x14ac:dyDescent="0.25">
      <c r="A66" s="121">
        <v>1049</v>
      </c>
      <c r="B66" s="122" t="s">
        <v>1304</v>
      </c>
      <c r="C66" t="s">
        <v>16</v>
      </c>
      <c r="D66" t="s">
        <v>318</v>
      </c>
      <c r="F66" t="s">
        <v>326</v>
      </c>
      <c r="G66">
        <f t="shared" ref="G66:G97" si="6">IF(A66="","",A66)</f>
        <v>1049</v>
      </c>
      <c r="H66" t="str">
        <f t="shared" ref="H66:H97" si="7">_xlfn.CONCAT(D66,SUBSTITUTE(B66,"""","`"""),E66)</f>
        <v>`     Offering GCredit in times of needed</v>
      </c>
      <c r="I66" t="s">
        <v>522</v>
      </c>
      <c r="J66" t="str">
        <f t="shared" ref="J66:J97" si="8">_xlfn.CONCAT(I66,H66)</f>
        <v>&lt;G1P&gt;`     Offering GCredit in times of needed</v>
      </c>
    </row>
    <row r="67" spans="1:10" x14ac:dyDescent="0.25">
      <c r="A67" s="121">
        <v>1058</v>
      </c>
      <c r="B67" s="122" t="s">
        <v>1305</v>
      </c>
      <c r="C67" t="s">
        <v>16</v>
      </c>
      <c r="D67" t="s">
        <v>318</v>
      </c>
      <c r="F67" t="s">
        <v>326</v>
      </c>
      <c r="G67">
        <f t="shared" si="6"/>
        <v>1058</v>
      </c>
      <c r="H67" t="str">
        <f t="shared" si="7"/>
        <v>`     Borrow from GCash to not be cut off</v>
      </c>
      <c r="I67" t="s">
        <v>522</v>
      </c>
      <c r="J67" t="str">
        <f t="shared" si="8"/>
        <v>&lt;G1P&gt;`     Borrow from GCash to not be cut off</v>
      </c>
    </row>
    <row r="68" spans="1:10" x14ac:dyDescent="0.25">
      <c r="A68" s="121">
        <v>1062</v>
      </c>
      <c r="B68" s="122" t="s">
        <v>1271</v>
      </c>
      <c r="C68" t="s">
        <v>16</v>
      </c>
      <c r="D68" t="s">
        <v>318</v>
      </c>
      <c r="F68" t="s">
        <v>326</v>
      </c>
      <c r="G68">
        <f t="shared" si="6"/>
        <v>1062</v>
      </c>
      <c r="H68" t="str">
        <f t="shared" si="7"/>
        <v>`     In times of need, borrow from GCredit</v>
      </c>
      <c r="I68" t="s">
        <v>521</v>
      </c>
      <c r="J68" t="str">
        <f t="shared" si="8"/>
        <v>&lt;G2E&gt;&lt;G1P&gt;`     In times of need, borrow from GCredit</v>
      </c>
    </row>
    <row r="69" spans="1:10" ht="15.75" x14ac:dyDescent="0.25">
      <c r="A69" s="116">
        <v>1020</v>
      </c>
      <c r="B69" s="117" t="s">
        <v>1115</v>
      </c>
      <c r="C69" t="s">
        <v>6</v>
      </c>
      <c r="D69" t="s">
        <v>323</v>
      </c>
      <c r="E69" t="s">
        <v>322</v>
      </c>
      <c r="F69" t="s">
        <v>327</v>
      </c>
      <c r="G69">
        <f t="shared" si="6"/>
        <v>1020</v>
      </c>
      <c r="H69" t="str">
        <f t="shared" si="7"/>
        <v>`CAN USE GCASH FOR PAYMENT (NET)&lt;Q&gt;</v>
      </c>
      <c r="J69" t="str">
        <f t="shared" si="8"/>
        <v>`CAN USE GCASH FOR PAYMENT (NET)&lt;Q&gt;</v>
      </c>
    </row>
    <row r="70" spans="1:10" x14ac:dyDescent="0.25">
      <c r="A70" s="116">
        <v>1020</v>
      </c>
      <c r="B70" s="118" t="s">
        <v>1306</v>
      </c>
      <c r="C70" t="s">
        <v>16</v>
      </c>
      <c r="D70" t="s">
        <v>318</v>
      </c>
      <c r="F70" t="s">
        <v>326</v>
      </c>
      <c r="G70">
        <f t="shared" si="6"/>
        <v>1020</v>
      </c>
      <c r="H70" t="str">
        <f t="shared" si="7"/>
        <v>`     Can pay via GCash</v>
      </c>
      <c r="I70" t="s">
        <v>522</v>
      </c>
      <c r="J70" t="str">
        <f t="shared" si="8"/>
        <v>&lt;G1P&gt;`     Can pay via GCash</v>
      </c>
    </row>
    <row r="71" spans="1:10" ht="15.75" x14ac:dyDescent="0.25">
      <c r="A71" s="116" t="s">
        <v>1348</v>
      </c>
      <c r="B71" s="117" t="s">
        <v>1307</v>
      </c>
      <c r="C71" t="s">
        <v>6</v>
      </c>
      <c r="D71" t="s">
        <v>323</v>
      </c>
      <c r="E71" t="s">
        <v>322</v>
      </c>
      <c r="F71" t="s">
        <v>327</v>
      </c>
      <c r="G71" t="str">
        <f t="shared" si="6"/>
        <v>1021+1022</v>
      </c>
      <c r="H71" t="str">
        <f t="shared" si="7"/>
        <v>`HUMOR/ COMEDY (NET)&lt;Q&gt;</v>
      </c>
      <c r="J71" t="str">
        <f t="shared" si="8"/>
        <v>`HUMOR/ COMEDY (NET)&lt;Q&gt;</v>
      </c>
    </row>
    <row r="72" spans="1:10" x14ac:dyDescent="0.25">
      <c r="A72" s="116">
        <v>1021</v>
      </c>
      <c r="B72" s="118" t="s">
        <v>1308</v>
      </c>
      <c r="C72" t="s">
        <v>16</v>
      </c>
      <c r="D72" t="s">
        <v>318</v>
      </c>
      <c r="F72" t="s">
        <v>326</v>
      </c>
      <c r="G72">
        <f t="shared" si="6"/>
        <v>1021</v>
      </c>
      <c r="H72" t="str">
        <f t="shared" si="7"/>
        <v>`     Commercial is amusing, taking a bath using only a cup</v>
      </c>
      <c r="I72" t="s">
        <v>520</v>
      </c>
      <c r="J72" t="str">
        <f t="shared" si="8"/>
        <v>&lt;G2B&gt;&lt;G1P&gt;`     Commercial is amusing, taking a bath using only a cup</v>
      </c>
    </row>
    <row r="73" spans="1:10" x14ac:dyDescent="0.25">
      <c r="A73" s="116">
        <v>1022</v>
      </c>
      <c r="B73" s="118" t="s">
        <v>1309</v>
      </c>
      <c r="C73" t="s">
        <v>16</v>
      </c>
      <c r="D73" t="s">
        <v>318</v>
      </c>
      <c r="F73" t="s">
        <v>326</v>
      </c>
      <c r="G73">
        <f t="shared" si="6"/>
        <v>1022</v>
      </c>
      <c r="H73" t="str">
        <f t="shared" si="7"/>
        <v>`     Saving water, so only using a cup take a bath</v>
      </c>
      <c r="I73" t="s">
        <v>521</v>
      </c>
      <c r="J73" t="str">
        <f t="shared" si="8"/>
        <v>&lt;G2E&gt;&lt;G1P&gt;`     Saving water, so only using a cup take a bath</v>
      </c>
    </row>
    <row r="74" spans="1:10" ht="15.75" x14ac:dyDescent="0.25">
      <c r="A74" s="116">
        <v>1030</v>
      </c>
      <c r="B74" s="103" t="s">
        <v>764</v>
      </c>
      <c r="C74" t="s">
        <v>6</v>
      </c>
      <c r="D74" t="s">
        <v>323</v>
      </c>
      <c r="E74" t="s">
        <v>322</v>
      </c>
      <c r="F74" t="s">
        <v>327</v>
      </c>
      <c r="G74">
        <f t="shared" si="6"/>
        <v>1030</v>
      </c>
      <c r="H74" t="str">
        <f t="shared" si="7"/>
        <v>`GCASH PROMOTION (NET)&lt;Q&gt;</v>
      </c>
      <c r="J74" t="str">
        <f t="shared" si="8"/>
        <v>`GCASH PROMOTION (NET)&lt;Q&gt;</v>
      </c>
    </row>
    <row r="75" spans="1:10" x14ac:dyDescent="0.25">
      <c r="A75" s="121">
        <v>1030</v>
      </c>
      <c r="B75" s="122" t="s">
        <v>641</v>
      </c>
      <c r="C75" t="s">
        <v>16</v>
      </c>
      <c r="D75" t="s">
        <v>318</v>
      </c>
      <c r="F75" t="s">
        <v>326</v>
      </c>
      <c r="G75">
        <f t="shared" si="6"/>
        <v>1030</v>
      </c>
      <c r="H75" t="str">
        <f t="shared" si="7"/>
        <v>`     GCash</v>
      </c>
      <c r="I75" t="s">
        <v>522</v>
      </c>
      <c r="J75" t="str">
        <f t="shared" si="8"/>
        <v>&lt;G1P&gt;`     GCash</v>
      </c>
    </row>
    <row r="76" spans="1:10" ht="15.75" x14ac:dyDescent="0.25">
      <c r="A76" s="116" t="s">
        <v>1349</v>
      </c>
      <c r="B76" s="103" t="s">
        <v>1310</v>
      </c>
      <c r="C76" t="s">
        <v>6</v>
      </c>
      <c r="D76" t="s">
        <v>323</v>
      </c>
      <c r="E76" t="s">
        <v>322</v>
      </c>
      <c r="F76" t="s">
        <v>327</v>
      </c>
      <c r="G76" t="str">
        <f t="shared" si="6"/>
        <v>1038+1052</v>
      </c>
      <c r="H76" t="str">
        <f t="shared" si="7"/>
        <v>`CAN BORROW MONEY FROM GCASH (NET)&lt;Q&gt;</v>
      </c>
      <c r="J76" t="str">
        <f t="shared" si="8"/>
        <v>`CAN BORROW MONEY FROM GCASH (NET)&lt;Q&gt;</v>
      </c>
    </row>
    <row r="77" spans="1:10" x14ac:dyDescent="0.25">
      <c r="A77" s="121">
        <v>1038</v>
      </c>
      <c r="B77" s="122" t="s">
        <v>1311</v>
      </c>
      <c r="C77" t="s">
        <v>16</v>
      </c>
      <c r="D77" t="s">
        <v>318</v>
      </c>
      <c r="F77" t="s">
        <v>326</v>
      </c>
      <c r="G77">
        <f t="shared" si="6"/>
        <v>1038</v>
      </c>
      <c r="H77" t="str">
        <f t="shared" si="7"/>
        <v>`     Can credit on GCash</v>
      </c>
      <c r="I77" t="s">
        <v>520</v>
      </c>
      <c r="J77" t="str">
        <f t="shared" si="8"/>
        <v>&lt;G2B&gt;&lt;G1P&gt;`     Can credit on GCash</v>
      </c>
    </row>
    <row r="78" spans="1:10" x14ac:dyDescent="0.25">
      <c r="A78" s="121">
        <v>1052</v>
      </c>
      <c r="B78" s="122" t="s">
        <v>1312</v>
      </c>
      <c r="C78" t="s">
        <v>16</v>
      </c>
      <c r="D78" t="s">
        <v>318</v>
      </c>
      <c r="F78" t="s">
        <v>326</v>
      </c>
      <c r="G78">
        <f t="shared" si="6"/>
        <v>1052</v>
      </c>
      <c r="H78" t="str">
        <f t="shared" si="7"/>
        <v>`     Receive GCash loan</v>
      </c>
      <c r="I78" t="s">
        <v>521</v>
      </c>
      <c r="J78" t="str">
        <f t="shared" si="8"/>
        <v>&lt;G2E&gt;&lt;G1P&gt;`     Receive GCash loan</v>
      </c>
    </row>
    <row r="79" spans="1:10" ht="15.75" x14ac:dyDescent="0.25">
      <c r="A79" s="116">
        <v>1047</v>
      </c>
      <c r="B79" s="103" t="s">
        <v>1313</v>
      </c>
      <c r="C79" t="s">
        <v>6</v>
      </c>
      <c r="D79" t="s">
        <v>323</v>
      </c>
      <c r="E79" t="s">
        <v>322</v>
      </c>
      <c r="F79" t="s">
        <v>327</v>
      </c>
      <c r="G79">
        <f t="shared" si="6"/>
        <v>1047</v>
      </c>
      <c r="H79" t="str">
        <f t="shared" si="7"/>
        <v>`CAN HELP FOR DAILY EXPENSES (NET)&lt;Q&gt;</v>
      </c>
      <c r="I79" t="s">
        <v>519</v>
      </c>
      <c r="J79" t="str">
        <f t="shared" si="8"/>
        <v>&lt;G1E&gt;`CAN HELP FOR DAILY EXPENSES (NET)&lt;Q&gt;</v>
      </c>
    </row>
    <row r="80" spans="1:10" x14ac:dyDescent="0.25">
      <c r="A80" s="121">
        <v>1047</v>
      </c>
      <c r="B80" s="122" t="s">
        <v>1314</v>
      </c>
      <c r="C80" t="s">
        <v>16</v>
      </c>
      <c r="D80" t="s">
        <v>318</v>
      </c>
      <c r="F80" t="s">
        <v>326</v>
      </c>
      <c r="G80">
        <f t="shared" si="6"/>
        <v>1047</v>
      </c>
      <c r="H80" t="str">
        <f t="shared" si="7"/>
        <v>`     Helps for everyday expenses</v>
      </c>
      <c r="I80" t="s">
        <v>522</v>
      </c>
      <c r="J80" t="str">
        <f t="shared" si="8"/>
        <v>&lt;G1P&gt;`     Helps for everyday expenses</v>
      </c>
    </row>
    <row r="81" spans="1:10" ht="42.75" x14ac:dyDescent="0.25">
      <c r="A81" s="116" t="s">
        <v>1350</v>
      </c>
      <c r="B81" s="103" t="s">
        <v>332</v>
      </c>
      <c r="C81" t="s">
        <v>6</v>
      </c>
      <c r="D81" t="s">
        <v>323</v>
      </c>
      <c r="E81" t="s">
        <v>322</v>
      </c>
      <c r="F81" t="s">
        <v>327</v>
      </c>
      <c r="G81" t="str">
        <f t="shared" si="6"/>
        <v>1044+1048+1051+1054+1059+1060+1064+1073+1076+1078+1079+1080+1082+1084+1085+1086+1087+1088+1089+1090</v>
      </c>
      <c r="H81" t="str">
        <f t="shared" si="7"/>
        <v>`OTHERS (NET)&lt;Q&gt;</v>
      </c>
      <c r="J81" t="str">
        <f t="shared" si="8"/>
        <v>`OTHERS (NET)&lt;Q&gt;</v>
      </c>
    </row>
    <row r="82" spans="1:10" x14ac:dyDescent="0.25">
      <c r="A82" s="121">
        <v>1044</v>
      </c>
      <c r="B82" s="122" t="s">
        <v>1315</v>
      </c>
      <c r="C82" t="s">
        <v>16</v>
      </c>
      <c r="D82" t="s">
        <v>318</v>
      </c>
      <c r="F82" t="s">
        <v>326</v>
      </c>
      <c r="G82">
        <f t="shared" si="6"/>
        <v>1044</v>
      </c>
      <c r="H82" t="str">
        <f t="shared" si="7"/>
        <v>`     It's easier to pay GCash with Credit</v>
      </c>
      <c r="I82" t="s">
        <v>520</v>
      </c>
      <c r="J82" t="str">
        <f t="shared" si="8"/>
        <v>&lt;G2B&gt;&lt;G1P&gt;`     It's easier to pay GCash with Credit</v>
      </c>
    </row>
    <row r="83" spans="1:10" x14ac:dyDescent="0.25">
      <c r="A83" s="121">
        <v>1048</v>
      </c>
      <c r="B83" s="122" t="s">
        <v>1316</v>
      </c>
      <c r="C83" t="s">
        <v>16</v>
      </c>
      <c r="D83" t="s">
        <v>318</v>
      </c>
      <c r="F83" t="s">
        <v>326</v>
      </c>
      <c r="G83">
        <f t="shared" si="6"/>
        <v>1048</v>
      </c>
      <c r="H83" t="str">
        <f t="shared" si="7"/>
        <v>`     Solve the problem about money</v>
      </c>
      <c r="I83" t="s">
        <v>522</v>
      </c>
      <c r="J83" t="str">
        <f t="shared" si="8"/>
        <v>&lt;G1P&gt;`     Solve the problem about money</v>
      </c>
    </row>
    <row r="84" spans="1:10" x14ac:dyDescent="0.25">
      <c r="A84" s="121">
        <v>1051</v>
      </c>
      <c r="B84" s="122" t="s">
        <v>1317</v>
      </c>
      <c r="C84" t="s">
        <v>16</v>
      </c>
      <c r="D84" t="s">
        <v>318</v>
      </c>
      <c r="F84" t="s">
        <v>326</v>
      </c>
      <c r="G84">
        <f t="shared" si="6"/>
        <v>1051</v>
      </c>
      <c r="H84" t="str">
        <f t="shared" si="7"/>
        <v>`     Save water</v>
      </c>
      <c r="I84" t="s">
        <v>522</v>
      </c>
      <c r="J84" t="str">
        <f t="shared" si="8"/>
        <v>&lt;G1P&gt;`     Save water</v>
      </c>
    </row>
    <row r="85" spans="1:10" x14ac:dyDescent="0.25">
      <c r="A85" s="121">
        <v>1054</v>
      </c>
      <c r="B85" s="122" t="s">
        <v>1318</v>
      </c>
      <c r="C85" t="s">
        <v>16</v>
      </c>
      <c r="D85" t="s">
        <v>318</v>
      </c>
      <c r="F85" t="s">
        <v>326</v>
      </c>
      <c r="G85">
        <f t="shared" si="6"/>
        <v>1054</v>
      </c>
      <c r="H85" t="str">
        <f t="shared" si="7"/>
        <v>`     Ran out of water</v>
      </c>
      <c r="I85" t="s">
        <v>522</v>
      </c>
      <c r="J85" t="str">
        <f t="shared" si="8"/>
        <v>&lt;G1P&gt;`     Ran out of water</v>
      </c>
    </row>
    <row r="86" spans="1:10" x14ac:dyDescent="0.25">
      <c r="A86" s="121">
        <v>1059</v>
      </c>
      <c r="B86" s="122" t="s">
        <v>1319</v>
      </c>
      <c r="C86" t="s">
        <v>16</v>
      </c>
      <c r="D86" t="s">
        <v>318</v>
      </c>
      <c r="F86" t="s">
        <v>326</v>
      </c>
      <c r="G86">
        <f t="shared" si="6"/>
        <v>1059</v>
      </c>
      <c r="H86" t="str">
        <f t="shared" si="7"/>
        <v>`     Can used Credit for payment</v>
      </c>
      <c r="I86" t="s">
        <v>522</v>
      </c>
      <c r="J86" t="str">
        <f t="shared" si="8"/>
        <v>&lt;G1P&gt;`     Can used Credit for payment</v>
      </c>
    </row>
    <row r="87" spans="1:10" ht="28.5" x14ac:dyDescent="0.25">
      <c r="A87" s="121">
        <v>1060</v>
      </c>
      <c r="B87" s="122" t="s">
        <v>1320</v>
      </c>
      <c r="C87" t="s">
        <v>16</v>
      </c>
      <c r="D87" t="s">
        <v>318</v>
      </c>
      <c r="F87" t="s">
        <v>326</v>
      </c>
      <c r="G87">
        <f t="shared" si="6"/>
        <v>1060</v>
      </c>
      <c r="H87" t="str">
        <f t="shared" si="7"/>
        <v xml:space="preserve">`     You can have a loan even if you don’t have money for paymnet </v>
      </c>
      <c r="I87" t="s">
        <v>522</v>
      </c>
      <c r="J87" t="str">
        <f t="shared" si="8"/>
        <v xml:space="preserve">&lt;G1P&gt;`     You can have a loan even if you don’t have money for paymnet </v>
      </c>
    </row>
    <row r="88" spans="1:10" x14ac:dyDescent="0.25">
      <c r="A88" s="126">
        <v>1064</v>
      </c>
      <c r="B88" s="124" t="s">
        <v>1321</v>
      </c>
      <c r="C88" t="s">
        <v>16</v>
      </c>
      <c r="D88" t="s">
        <v>318</v>
      </c>
      <c r="F88" t="s">
        <v>326</v>
      </c>
      <c r="G88">
        <f t="shared" si="6"/>
        <v>1064</v>
      </c>
      <c r="H88" t="str">
        <f t="shared" si="7"/>
        <v>`     Can be used on bills</v>
      </c>
      <c r="I88" t="s">
        <v>522</v>
      </c>
      <c r="J88" t="str">
        <f t="shared" si="8"/>
        <v>&lt;G1P&gt;`     Can be used on bills</v>
      </c>
    </row>
    <row r="89" spans="1:10" x14ac:dyDescent="0.25">
      <c r="A89" s="126">
        <v>1073</v>
      </c>
      <c r="B89" s="124" t="s">
        <v>1322</v>
      </c>
      <c r="C89" t="s">
        <v>16</v>
      </c>
      <c r="D89" t="s">
        <v>318</v>
      </c>
      <c r="F89" t="s">
        <v>326</v>
      </c>
      <c r="G89">
        <f t="shared" si="6"/>
        <v>1073</v>
      </c>
      <c r="H89" t="str">
        <f t="shared" si="7"/>
        <v>`     If budget is short there is a solution</v>
      </c>
      <c r="I89" t="s">
        <v>522</v>
      </c>
      <c r="J89" t="str">
        <f t="shared" si="8"/>
        <v>&lt;G1P&gt;`     If budget is short there is a solution</v>
      </c>
    </row>
    <row r="90" spans="1:10" x14ac:dyDescent="0.25">
      <c r="A90" s="123">
        <v>1076</v>
      </c>
      <c r="B90" s="124" t="s">
        <v>1323</v>
      </c>
      <c r="C90" t="s">
        <v>16</v>
      </c>
      <c r="D90" t="s">
        <v>318</v>
      </c>
      <c r="F90" t="s">
        <v>326</v>
      </c>
      <c r="G90">
        <f t="shared" si="6"/>
        <v>1076</v>
      </c>
      <c r="H90" t="str">
        <f t="shared" si="7"/>
        <v>`     Easy to budget because of Gloan</v>
      </c>
      <c r="I90" t="s">
        <v>522</v>
      </c>
      <c r="J90" t="str">
        <f t="shared" si="8"/>
        <v>&lt;G1P&gt;`     Easy to budget because of Gloan</v>
      </c>
    </row>
    <row r="91" spans="1:10" x14ac:dyDescent="0.25">
      <c r="A91" s="123">
        <v>1078</v>
      </c>
      <c r="B91" s="124" t="s">
        <v>1324</v>
      </c>
      <c r="C91" t="s">
        <v>16</v>
      </c>
      <c r="D91" t="s">
        <v>318</v>
      </c>
      <c r="F91" t="s">
        <v>326</v>
      </c>
      <c r="G91">
        <f t="shared" si="6"/>
        <v>1078</v>
      </c>
      <c r="H91" t="str">
        <f t="shared" si="7"/>
        <v>`     Can borrow money</v>
      </c>
      <c r="I91" t="s">
        <v>522</v>
      </c>
      <c r="J91" t="str">
        <f t="shared" si="8"/>
        <v>&lt;G1P&gt;`     Can borrow money</v>
      </c>
    </row>
    <row r="92" spans="1:10" x14ac:dyDescent="0.25">
      <c r="A92" s="123">
        <v>1079</v>
      </c>
      <c r="B92" s="124" t="s">
        <v>1325</v>
      </c>
      <c r="C92" t="s">
        <v>16</v>
      </c>
      <c r="D92" t="s">
        <v>318</v>
      </c>
      <c r="F92" t="s">
        <v>326</v>
      </c>
      <c r="G92">
        <f t="shared" si="6"/>
        <v>1079</v>
      </c>
      <c r="H92" t="str">
        <f t="shared" si="7"/>
        <v>`     Help if we neded</v>
      </c>
      <c r="I92" t="s">
        <v>522</v>
      </c>
      <c r="J92" t="str">
        <f t="shared" si="8"/>
        <v>&lt;G1P&gt;`     Help if we neded</v>
      </c>
    </row>
    <row r="93" spans="1:10" x14ac:dyDescent="0.25">
      <c r="A93" s="123">
        <v>1080</v>
      </c>
      <c r="B93" s="124" t="s">
        <v>1326</v>
      </c>
      <c r="C93" t="s">
        <v>16</v>
      </c>
      <c r="D93" t="s">
        <v>318</v>
      </c>
      <c r="F93" t="s">
        <v>326</v>
      </c>
      <c r="G93">
        <f t="shared" si="6"/>
        <v>1080</v>
      </c>
      <c r="H93" t="str">
        <f t="shared" si="7"/>
        <v>`     Gcash flexible payments are multiple uses</v>
      </c>
      <c r="I93" t="s">
        <v>522</v>
      </c>
      <c r="J93" t="str">
        <f t="shared" si="8"/>
        <v>&lt;G1P&gt;`     Gcash flexible payments are multiple uses</v>
      </c>
    </row>
    <row r="94" spans="1:10" x14ac:dyDescent="0.25">
      <c r="A94" s="123">
        <v>1082</v>
      </c>
      <c r="B94" s="124" t="s">
        <v>1327</v>
      </c>
      <c r="C94" t="s">
        <v>16</v>
      </c>
      <c r="D94" t="s">
        <v>318</v>
      </c>
      <c r="F94" t="s">
        <v>326</v>
      </c>
      <c r="G94">
        <f t="shared" si="6"/>
        <v>1082</v>
      </c>
      <c r="H94" t="str">
        <f t="shared" si="7"/>
        <v>`     Gcash's loan helps with finances</v>
      </c>
      <c r="I94" t="s">
        <v>522</v>
      </c>
      <c r="J94" t="str">
        <f t="shared" si="8"/>
        <v>&lt;G1P&gt;`     Gcash's loan helps with finances</v>
      </c>
    </row>
    <row r="95" spans="1:10" x14ac:dyDescent="0.25">
      <c r="A95" s="123">
        <v>1084</v>
      </c>
      <c r="B95" s="124" t="s">
        <v>1328</v>
      </c>
      <c r="C95" t="s">
        <v>16</v>
      </c>
      <c r="D95" t="s">
        <v>318</v>
      </c>
      <c r="F95" t="s">
        <v>326</v>
      </c>
      <c r="G95">
        <f t="shared" si="6"/>
        <v>1084</v>
      </c>
      <c r="H95" t="str">
        <f t="shared" si="7"/>
        <v>`     Making it easier to meet demand</v>
      </c>
      <c r="I95" t="s">
        <v>522</v>
      </c>
      <c r="J95" t="str">
        <f t="shared" si="8"/>
        <v>&lt;G1P&gt;`     Making it easier to meet demand</v>
      </c>
    </row>
    <row r="96" spans="1:10" x14ac:dyDescent="0.25">
      <c r="A96" s="123">
        <v>1085</v>
      </c>
      <c r="B96" s="124" t="s">
        <v>1329</v>
      </c>
      <c r="C96" t="s">
        <v>16</v>
      </c>
      <c r="D96" t="s">
        <v>318</v>
      </c>
      <c r="F96" t="s">
        <v>326</v>
      </c>
      <c r="G96">
        <f t="shared" si="6"/>
        <v>1085</v>
      </c>
      <c r="H96" t="str">
        <f t="shared" si="7"/>
        <v>`     Can get a loan with the online app of Gcash</v>
      </c>
      <c r="I96" t="s">
        <v>522</v>
      </c>
      <c r="J96" t="str">
        <f t="shared" si="8"/>
        <v>&lt;G1P&gt;`     Can get a loan with the online app of Gcash</v>
      </c>
    </row>
    <row r="97" spans="1:10" x14ac:dyDescent="0.25">
      <c r="A97" s="123">
        <v>1086</v>
      </c>
      <c r="B97" s="124" t="s">
        <v>1330</v>
      </c>
      <c r="C97" t="s">
        <v>16</v>
      </c>
      <c r="D97" t="s">
        <v>318</v>
      </c>
      <c r="F97" t="s">
        <v>326</v>
      </c>
      <c r="G97">
        <f t="shared" si="6"/>
        <v>1086</v>
      </c>
      <c r="H97" t="str">
        <f t="shared" si="7"/>
        <v>`     Can borrow to pay the water bill or electric bill</v>
      </c>
      <c r="I97" t="s">
        <v>522</v>
      </c>
      <c r="J97" t="str">
        <f t="shared" si="8"/>
        <v>&lt;G1P&gt;`     Can borrow to pay the water bill or electric bill</v>
      </c>
    </row>
    <row r="98" spans="1:10" x14ac:dyDescent="0.25">
      <c r="A98" s="123">
        <v>1087</v>
      </c>
      <c r="B98" s="124" t="s">
        <v>1331</v>
      </c>
      <c r="C98" t="s">
        <v>16</v>
      </c>
      <c r="D98" t="s">
        <v>318</v>
      </c>
      <c r="F98" t="s">
        <v>326</v>
      </c>
      <c r="G98">
        <f t="shared" ref="G98:G112" si="9">IF(A98="","",A98)</f>
        <v>1087</v>
      </c>
      <c r="H98" t="str">
        <f t="shared" ref="H98:H112" si="10">_xlfn.CONCAT(D98,SUBSTITUTE(B98,"""","`"""),E98)</f>
        <v xml:space="preserve">`     We can't deny the fact that we can get anything we want </v>
      </c>
      <c r="I98" t="s">
        <v>522</v>
      </c>
      <c r="J98" t="str">
        <f t="shared" ref="J98:J112" si="11">_xlfn.CONCAT(I98,H98)</f>
        <v xml:space="preserve">&lt;G1P&gt;`     We can't deny the fact that we can get anything we want </v>
      </c>
    </row>
    <row r="99" spans="1:10" x14ac:dyDescent="0.25">
      <c r="A99" s="123">
        <v>1088</v>
      </c>
      <c r="B99" s="124" t="s">
        <v>1332</v>
      </c>
      <c r="C99" t="s">
        <v>16</v>
      </c>
      <c r="D99" t="s">
        <v>318</v>
      </c>
      <c r="F99" t="s">
        <v>326</v>
      </c>
      <c r="G99">
        <f t="shared" si="9"/>
        <v>1088</v>
      </c>
      <c r="H99" t="str">
        <f t="shared" si="10"/>
        <v>`     GCredit always available</v>
      </c>
      <c r="I99" t="s">
        <v>522</v>
      </c>
      <c r="J99" t="str">
        <f t="shared" si="11"/>
        <v>&lt;G1P&gt;`     GCredit always available</v>
      </c>
    </row>
    <row r="100" spans="1:10" x14ac:dyDescent="0.25">
      <c r="A100" s="123">
        <v>1089</v>
      </c>
      <c r="B100" s="124" t="s">
        <v>1333</v>
      </c>
      <c r="C100" t="s">
        <v>16</v>
      </c>
      <c r="D100" t="s">
        <v>318</v>
      </c>
      <c r="F100" t="s">
        <v>326</v>
      </c>
      <c r="G100">
        <f t="shared" si="9"/>
        <v>1089</v>
      </c>
      <c r="H100" t="str">
        <f t="shared" si="10"/>
        <v>`     GCredit can be paid at the supermarket</v>
      </c>
      <c r="I100" t="s">
        <v>522</v>
      </c>
      <c r="J100" t="str">
        <f t="shared" si="11"/>
        <v>&lt;G1P&gt;`     GCredit can be paid at the supermarket</v>
      </c>
    </row>
    <row r="101" spans="1:10" x14ac:dyDescent="0.25">
      <c r="A101" s="123">
        <v>1090</v>
      </c>
      <c r="B101" s="124" t="s">
        <v>1334</v>
      </c>
      <c r="C101" t="s">
        <v>16</v>
      </c>
      <c r="D101" t="s">
        <v>318</v>
      </c>
      <c r="F101" t="s">
        <v>326</v>
      </c>
      <c r="G101">
        <f t="shared" si="9"/>
        <v>1090</v>
      </c>
      <c r="H101" t="str">
        <f t="shared" si="10"/>
        <v>`     No need to be thrifty</v>
      </c>
      <c r="I101" t="s">
        <v>521</v>
      </c>
      <c r="J101" t="str">
        <f t="shared" si="11"/>
        <v>&lt;G2E&gt;&lt;G1P&gt;`     No need to be thrifty</v>
      </c>
    </row>
    <row r="102" spans="1:10" ht="15.75" x14ac:dyDescent="0.25">
      <c r="A102" s="116" t="s">
        <v>1351</v>
      </c>
      <c r="B102" s="103" t="s">
        <v>331</v>
      </c>
      <c r="C102" t="s">
        <v>6</v>
      </c>
      <c r="D102" t="s">
        <v>323</v>
      </c>
      <c r="E102" t="s">
        <v>322</v>
      </c>
      <c r="F102" t="s">
        <v>327</v>
      </c>
      <c r="G102" t="str">
        <f t="shared" si="9"/>
        <v>1023+1024+1055+1065+1083</v>
      </c>
      <c r="H102" t="str">
        <f t="shared" si="10"/>
        <v>`VAGUE (NET)&lt;Q&gt;</v>
      </c>
      <c r="J102" t="str">
        <f t="shared" si="11"/>
        <v>`VAGUE (NET)&lt;Q&gt;</v>
      </c>
    </row>
    <row r="103" spans="1:10" x14ac:dyDescent="0.25">
      <c r="A103" s="121">
        <v>1023</v>
      </c>
      <c r="B103" s="122" t="s">
        <v>1335</v>
      </c>
      <c r="C103" t="s">
        <v>16</v>
      </c>
      <c r="D103" t="s">
        <v>318</v>
      </c>
      <c r="F103" t="s">
        <v>326</v>
      </c>
      <c r="G103">
        <f t="shared" si="9"/>
        <v>1023</v>
      </c>
      <c r="H103" t="str">
        <f t="shared" si="10"/>
        <v>`     `"Maluho`"</v>
      </c>
      <c r="I103" t="s">
        <v>520</v>
      </c>
      <c r="J103" t="str">
        <f t="shared" si="11"/>
        <v>&lt;G2B&gt;&lt;G1P&gt;`     `"Maluho`"</v>
      </c>
    </row>
    <row r="104" spans="1:10" x14ac:dyDescent="0.25">
      <c r="A104" s="121">
        <v>1024</v>
      </c>
      <c r="B104" s="122" t="s">
        <v>787</v>
      </c>
      <c r="C104" t="s">
        <v>16</v>
      </c>
      <c r="D104" t="s">
        <v>318</v>
      </c>
      <c r="F104" t="s">
        <v>326</v>
      </c>
      <c r="G104">
        <f t="shared" si="9"/>
        <v>1024</v>
      </c>
      <c r="H104" t="str">
        <f t="shared" si="10"/>
        <v>`     Nice</v>
      </c>
      <c r="I104" t="s">
        <v>522</v>
      </c>
      <c r="J104" t="str">
        <f t="shared" si="11"/>
        <v>&lt;G1P&gt;`     Nice</v>
      </c>
    </row>
    <row r="105" spans="1:10" x14ac:dyDescent="0.25">
      <c r="A105" s="121">
        <v>1055</v>
      </c>
      <c r="B105" s="122" t="s">
        <v>784</v>
      </c>
      <c r="C105" t="s">
        <v>16</v>
      </c>
      <c r="D105" t="s">
        <v>318</v>
      </c>
      <c r="F105" t="s">
        <v>326</v>
      </c>
      <c r="G105">
        <f t="shared" si="9"/>
        <v>1055</v>
      </c>
      <c r="H105" t="str">
        <f t="shared" si="10"/>
        <v>`     It's okay</v>
      </c>
      <c r="I105" t="s">
        <v>522</v>
      </c>
      <c r="J105" t="str">
        <f t="shared" si="11"/>
        <v>&lt;G1P&gt;`     It's okay</v>
      </c>
    </row>
    <row r="106" spans="1:10" x14ac:dyDescent="0.25">
      <c r="A106" s="126">
        <v>1065</v>
      </c>
      <c r="B106" s="124" t="s">
        <v>1336</v>
      </c>
      <c r="C106" t="s">
        <v>16</v>
      </c>
      <c r="D106" t="s">
        <v>318</v>
      </c>
      <c r="F106" t="s">
        <v>326</v>
      </c>
      <c r="G106">
        <f t="shared" si="9"/>
        <v>1065</v>
      </c>
      <c r="H106" t="str">
        <f t="shared" si="10"/>
        <v>`     Tight budget</v>
      </c>
      <c r="I106" t="s">
        <v>522</v>
      </c>
      <c r="J106" t="str">
        <f t="shared" si="11"/>
        <v>&lt;G1P&gt;`     Tight budget</v>
      </c>
    </row>
    <row r="107" spans="1:10" x14ac:dyDescent="0.25">
      <c r="A107" s="123">
        <v>1083</v>
      </c>
      <c r="B107" s="124" t="s">
        <v>723</v>
      </c>
      <c r="C107" t="s">
        <v>16</v>
      </c>
      <c r="D107" t="s">
        <v>318</v>
      </c>
      <c r="F107" t="s">
        <v>326</v>
      </c>
      <c r="G107">
        <f t="shared" si="9"/>
        <v>1083</v>
      </c>
      <c r="H107" t="str">
        <f t="shared" si="10"/>
        <v>`     Pay bills</v>
      </c>
      <c r="I107" t="s">
        <v>521</v>
      </c>
      <c r="J107" t="str">
        <f t="shared" si="11"/>
        <v>&lt;G2E&gt;&lt;G1P&gt;`     Pay bills</v>
      </c>
    </row>
    <row r="108" spans="1:10" x14ac:dyDescent="0.25">
      <c r="A108" s="121">
        <v>9995</v>
      </c>
      <c r="B108" s="128" t="s">
        <v>1337</v>
      </c>
      <c r="G108">
        <f t="shared" si="9"/>
        <v>9995</v>
      </c>
      <c r="H108" t="str">
        <f t="shared" si="10"/>
        <v>No Idea</v>
      </c>
      <c r="J108" t="str">
        <f t="shared" si="11"/>
        <v>No Idea</v>
      </c>
    </row>
    <row r="109" spans="1:10" x14ac:dyDescent="0.25">
      <c r="A109" s="121">
        <v>9996</v>
      </c>
      <c r="B109" s="128" t="s">
        <v>302</v>
      </c>
      <c r="G109">
        <f t="shared" si="9"/>
        <v>9996</v>
      </c>
      <c r="H109" t="str">
        <f t="shared" si="10"/>
        <v>Can't say</v>
      </c>
      <c r="J109" t="str">
        <f t="shared" si="11"/>
        <v>Can't say</v>
      </c>
    </row>
    <row r="110" spans="1:10" x14ac:dyDescent="0.25">
      <c r="A110" s="121">
        <v>9997</v>
      </c>
      <c r="B110" s="128" t="s">
        <v>796</v>
      </c>
      <c r="G110">
        <f t="shared" si="9"/>
        <v>9997</v>
      </c>
      <c r="H110" t="str">
        <f t="shared" si="10"/>
        <v>No comment</v>
      </c>
      <c r="J110" t="str">
        <f t="shared" si="11"/>
        <v>No comment</v>
      </c>
    </row>
    <row r="111" spans="1:10" x14ac:dyDescent="0.25">
      <c r="A111" s="121">
        <v>9998</v>
      </c>
      <c r="B111" s="122" t="s">
        <v>336</v>
      </c>
      <c r="G111">
        <f t="shared" si="9"/>
        <v>9998</v>
      </c>
      <c r="H111" t="str">
        <f t="shared" si="10"/>
        <v>Don't know</v>
      </c>
      <c r="J111" t="str">
        <f t="shared" si="11"/>
        <v>Don't know</v>
      </c>
    </row>
    <row r="112" spans="1:10" x14ac:dyDescent="0.25">
      <c r="A112" s="121">
        <v>9999</v>
      </c>
      <c r="B112" s="122" t="s">
        <v>303</v>
      </c>
      <c r="G112">
        <f t="shared" si="9"/>
        <v>9999</v>
      </c>
      <c r="H112" t="str">
        <f t="shared" si="10"/>
        <v>None</v>
      </c>
      <c r="J112" t="str">
        <f t="shared" si="11"/>
        <v>None</v>
      </c>
    </row>
  </sheetData>
  <autoFilter ref="A1:C112" xr:uid="{3133D5A7-4A0C-4F43-9C10-040CF6289E5E}"/>
  <conditionalFormatting sqref="A1:A112">
    <cfRule type="duplicateValues" dxfId="75" priority="721"/>
  </conditionalFormatting>
  <conditionalFormatting sqref="A1:A112">
    <cfRule type="duplicateValues" dxfId="74" priority="724"/>
    <cfRule type="duplicateValues" dxfId="73" priority="725"/>
    <cfRule type="duplicateValues" dxfId="72" priority="726"/>
    <cfRule type="duplicateValues" dxfId="71" priority="727"/>
    <cfRule type="duplicateValues" dxfId="70" priority="728"/>
  </conditionalFormatting>
  <conditionalFormatting sqref="A1:A112">
    <cfRule type="duplicateValues" dxfId="69" priority="729"/>
    <cfRule type="duplicateValues" dxfId="68" priority="730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06A4D-461D-42B0-BFB8-66BDBFBE9AEE}">
  <dimension ref="A1:J122"/>
  <sheetViews>
    <sheetView workbookViewId="0">
      <selection activeCell="I99" sqref="G1:I99"/>
    </sheetView>
  </sheetViews>
  <sheetFormatPr defaultRowHeight="15" x14ac:dyDescent="0.25"/>
  <cols>
    <col min="1" max="2" width="52.42578125" customWidth="1"/>
    <col min="8" max="8" width="55.85546875" customWidth="1"/>
  </cols>
  <sheetData>
    <row r="1" spans="1:10" x14ac:dyDescent="0.25">
      <c r="A1" s="115" t="s">
        <v>533</v>
      </c>
      <c r="B1" s="115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ht="31.5" x14ac:dyDescent="0.25">
      <c r="A2" s="116" t="s">
        <v>1425</v>
      </c>
      <c r="B2" s="117" t="s">
        <v>1352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33" si="0">IF(A2="","",A2)</f>
        <v>1001+1002+1025+1048+1046</v>
      </c>
      <c r="H2" t="str">
        <f t="shared" ref="H2:H33" si="1">_xlfn.CONCAT(D2,SUBSTITUTE(B2,"""","`"""),E2)</f>
        <v>`BORROW MONEY FROM GCASH IN TIMES OF NEED (NET)&lt;Q&gt;</v>
      </c>
      <c r="I2" t="s">
        <v>518</v>
      </c>
      <c r="J2" t="str">
        <f t="shared" ref="J2:J33" si="2">_xlfn.CONCAT(I2,H2)</f>
        <v>&lt;G1B&gt;`BORROW MONEY FROM GCASH IN TIMES OF NEED (NET)&lt;Q&gt;</v>
      </c>
    </row>
    <row r="3" spans="1:10" x14ac:dyDescent="0.25">
      <c r="A3" s="116">
        <v>1001</v>
      </c>
      <c r="B3" s="118" t="s">
        <v>1353</v>
      </c>
      <c r="C3" t="s">
        <v>16</v>
      </c>
      <c r="D3" t="s">
        <v>318</v>
      </c>
      <c r="F3" t="s">
        <v>326</v>
      </c>
      <c r="G3">
        <f t="shared" si="0"/>
        <v>1001</v>
      </c>
      <c r="H3" t="str">
        <f t="shared" si="1"/>
        <v>`     Can borrow money from GCash in times of need</v>
      </c>
      <c r="I3" t="s">
        <v>520</v>
      </c>
      <c r="J3" t="str">
        <f t="shared" si="2"/>
        <v>&lt;G2B&gt;&lt;G1P&gt;`     Can borrow money from GCash in times of need</v>
      </c>
    </row>
    <row r="4" spans="1:10" x14ac:dyDescent="0.25">
      <c r="A4" s="116">
        <v>1002</v>
      </c>
      <c r="B4" s="118" t="s">
        <v>1354</v>
      </c>
      <c r="C4" t="s">
        <v>16</v>
      </c>
      <c r="D4" t="s">
        <v>318</v>
      </c>
      <c r="F4" t="s">
        <v>326</v>
      </c>
      <c r="G4">
        <f t="shared" si="0"/>
        <v>1002</v>
      </c>
      <c r="H4" t="str">
        <f t="shared" si="1"/>
        <v>`     GCash can help in time of emergency</v>
      </c>
      <c r="I4" t="s">
        <v>522</v>
      </c>
      <c r="J4" t="str">
        <f t="shared" si="2"/>
        <v>&lt;G1P&gt;`     GCash can help in time of emergency</v>
      </c>
    </row>
    <row r="5" spans="1:10" x14ac:dyDescent="0.25">
      <c r="A5" s="121">
        <v>1025</v>
      </c>
      <c r="B5" s="122" t="s">
        <v>1355</v>
      </c>
      <c r="C5" t="s">
        <v>16</v>
      </c>
      <c r="D5" t="s">
        <v>318</v>
      </c>
      <c r="F5" t="s">
        <v>326</v>
      </c>
      <c r="G5">
        <f t="shared" si="0"/>
        <v>1025</v>
      </c>
      <c r="H5" t="str">
        <f t="shared" si="1"/>
        <v>`     GCredit for emergency</v>
      </c>
      <c r="I5" t="s">
        <v>522</v>
      </c>
      <c r="J5" t="str">
        <f t="shared" si="2"/>
        <v>&lt;G1P&gt;`     GCredit for emergency</v>
      </c>
    </row>
    <row r="6" spans="1:10" x14ac:dyDescent="0.25">
      <c r="A6" s="119">
        <v>1048</v>
      </c>
      <c r="B6" s="120" t="s">
        <v>1356</v>
      </c>
      <c r="C6" t="s">
        <v>16</v>
      </c>
      <c r="D6" t="s">
        <v>318</v>
      </c>
      <c r="F6" t="s">
        <v>326</v>
      </c>
      <c r="G6">
        <f t="shared" si="0"/>
        <v>1048</v>
      </c>
      <c r="H6" t="str">
        <f t="shared" si="1"/>
        <v>`     You can avail by a GLoan when your out of money</v>
      </c>
      <c r="I6" t="s">
        <v>522</v>
      </c>
      <c r="J6" t="str">
        <f t="shared" si="2"/>
        <v>&lt;G1P&gt;`     You can avail by a GLoan when your out of money</v>
      </c>
    </row>
    <row r="7" spans="1:10" x14ac:dyDescent="0.25">
      <c r="A7" s="119">
        <v>1046</v>
      </c>
      <c r="B7" s="120" t="s">
        <v>1357</v>
      </c>
      <c r="C7" t="s">
        <v>16</v>
      </c>
      <c r="D7" t="s">
        <v>318</v>
      </c>
      <c r="F7" t="s">
        <v>326</v>
      </c>
      <c r="G7">
        <f t="shared" si="0"/>
        <v>1046</v>
      </c>
      <c r="H7" t="str">
        <f t="shared" si="1"/>
        <v>`     If cash runs out there is GCash that can be borrowed</v>
      </c>
      <c r="I7" t="s">
        <v>521</v>
      </c>
      <c r="J7" t="str">
        <f t="shared" si="2"/>
        <v>&lt;G2E&gt;&lt;G1P&gt;`     If cash runs out there is GCash that can be borrowed</v>
      </c>
    </row>
    <row r="8" spans="1:10" ht="15.75" x14ac:dyDescent="0.25">
      <c r="A8" s="116" t="s">
        <v>1426</v>
      </c>
      <c r="B8" s="117" t="s">
        <v>1358</v>
      </c>
      <c r="C8" t="s">
        <v>6</v>
      </c>
      <c r="D8" t="s">
        <v>323</v>
      </c>
      <c r="E8" t="s">
        <v>322</v>
      </c>
      <c r="F8" t="s">
        <v>327</v>
      </c>
      <c r="G8" t="str">
        <f t="shared" si="0"/>
        <v>1003+1027</v>
      </c>
      <c r="H8" t="str">
        <f t="shared" si="1"/>
        <v>`GCREDIT CAN BE USED ANYWHERE (NET)&lt;Q&gt;</v>
      </c>
      <c r="J8" t="str">
        <f t="shared" si="2"/>
        <v>`GCREDIT CAN BE USED ANYWHERE (NET)&lt;Q&gt;</v>
      </c>
    </row>
    <row r="9" spans="1:10" x14ac:dyDescent="0.25">
      <c r="A9" s="116">
        <v>1003</v>
      </c>
      <c r="B9" s="118" t="s">
        <v>1359</v>
      </c>
      <c r="C9" t="s">
        <v>16</v>
      </c>
      <c r="D9" t="s">
        <v>318</v>
      </c>
      <c r="F9" t="s">
        <v>326</v>
      </c>
      <c r="G9">
        <f t="shared" si="0"/>
        <v>1003</v>
      </c>
      <c r="H9" t="str">
        <f t="shared" si="1"/>
        <v>`     GCredit can be used anywhere</v>
      </c>
      <c r="I9" t="s">
        <v>520</v>
      </c>
      <c r="J9" t="str">
        <f t="shared" si="2"/>
        <v>&lt;G2B&gt;&lt;G1P&gt;`     GCredit can be used anywhere</v>
      </c>
    </row>
    <row r="10" spans="1:10" ht="28.5" x14ac:dyDescent="0.25">
      <c r="A10" s="121">
        <v>1027</v>
      </c>
      <c r="B10" s="122" t="s">
        <v>1360</v>
      </c>
      <c r="C10" t="s">
        <v>16</v>
      </c>
      <c r="D10" t="s">
        <v>318</v>
      </c>
      <c r="F10" t="s">
        <v>326</v>
      </c>
      <c r="G10">
        <f t="shared" si="0"/>
        <v>1027</v>
      </c>
      <c r="H10" t="str">
        <f t="shared" si="1"/>
        <v>`     With GCash there are many things you can do like GCredit</v>
      </c>
      <c r="I10" t="s">
        <v>521</v>
      </c>
      <c r="J10" t="str">
        <f t="shared" si="2"/>
        <v>&lt;G2E&gt;&lt;G1P&gt;`     With GCash there are many things you can do like GCredit</v>
      </c>
    </row>
    <row r="11" spans="1:10" ht="15.75" x14ac:dyDescent="0.25">
      <c r="A11" s="116">
        <v>1004</v>
      </c>
      <c r="B11" s="117" t="s">
        <v>1361</v>
      </c>
      <c r="C11" t="s">
        <v>6</v>
      </c>
      <c r="D11" t="s">
        <v>323</v>
      </c>
      <c r="E11" t="s">
        <v>322</v>
      </c>
      <c r="F11" t="s">
        <v>327</v>
      </c>
      <c r="G11">
        <f t="shared" si="0"/>
        <v>1004</v>
      </c>
      <c r="H11" t="str">
        <f t="shared" si="1"/>
        <v>`HUMOR/COMEDY (NET)&lt;Q&gt;</v>
      </c>
      <c r="J11" t="str">
        <f t="shared" si="2"/>
        <v>`HUMOR/COMEDY (NET)&lt;Q&gt;</v>
      </c>
    </row>
    <row r="12" spans="1:10" ht="28.5" x14ac:dyDescent="0.25">
      <c r="A12" s="116">
        <v>1004</v>
      </c>
      <c r="B12" s="125" t="s">
        <v>1362</v>
      </c>
      <c r="C12" t="s">
        <v>16</v>
      </c>
      <c r="D12" t="s">
        <v>318</v>
      </c>
      <c r="F12" t="s">
        <v>326</v>
      </c>
      <c r="G12">
        <f t="shared" si="0"/>
        <v>1004</v>
      </c>
      <c r="H12" t="str">
        <f t="shared" si="1"/>
        <v>`     Borrowed money from GCash because there is no ingredients to cook for food</v>
      </c>
      <c r="I12" t="s">
        <v>522</v>
      </c>
      <c r="J12" t="str">
        <f t="shared" si="2"/>
        <v>&lt;G1P&gt;`     Borrowed money from GCash because there is no ingredients to cook for food</v>
      </c>
    </row>
    <row r="13" spans="1:10" ht="15.75" x14ac:dyDescent="0.25">
      <c r="A13" s="116" t="s">
        <v>1427</v>
      </c>
      <c r="B13" s="117" t="s">
        <v>1363</v>
      </c>
      <c r="C13" t="s">
        <v>6</v>
      </c>
      <c r="D13" t="s">
        <v>323</v>
      </c>
      <c r="E13" t="s">
        <v>322</v>
      </c>
      <c r="F13" t="s">
        <v>327</v>
      </c>
      <c r="G13" t="str">
        <f t="shared" si="0"/>
        <v>1005+1068</v>
      </c>
      <c r="H13" t="str">
        <f t="shared" si="1"/>
        <v>`INSTANT LOAN VIA GCREDIT (NET)&lt;Q&gt;</v>
      </c>
      <c r="J13" t="str">
        <f t="shared" si="2"/>
        <v>`INSTANT LOAN VIA GCREDIT (NET)&lt;Q&gt;</v>
      </c>
    </row>
    <row r="14" spans="1:10" x14ac:dyDescent="0.25">
      <c r="A14" s="116">
        <v>1005</v>
      </c>
      <c r="B14" s="125" t="s">
        <v>1364</v>
      </c>
      <c r="C14" t="s">
        <v>16</v>
      </c>
      <c r="D14" t="s">
        <v>318</v>
      </c>
      <c r="F14" t="s">
        <v>326</v>
      </c>
      <c r="G14">
        <f t="shared" si="0"/>
        <v>1005</v>
      </c>
      <c r="H14" t="str">
        <f t="shared" si="1"/>
        <v>`     Instant loan via GCredit</v>
      </c>
      <c r="I14" t="s">
        <v>520</v>
      </c>
      <c r="J14" t="str">
        <f t="shared" si="2"/>
        <v>&lt;G2B&gt;&lt;G1P&gt;`     Instant loan via GCredit</v>
      </c>
    </row>
    <row r="15" spans="1:10" x14ac:dyDescent="0.25">
      <c r="A15" s="123">
        <v>1068</v>
      </c>
      <c r="B15" s="124" t="s">
        <v>1365</v>
      </c>
      <c r="C15" t="s">
        <v>16</v>
      </c>
      <c r="D15" t="s">
        <v>318</v>
      </c>
      <c r="F15" t="s">
        <v>326</v>
      </c>
      <c r="G15">
        <f t="shared" si="0"/>
        <v>1068</v>
      </c>
      <c r="H15" t="str">
        <f t="shared" si="1"/>
        <v>`     Today with Gcredit</v>
      </c>
      <c r="I15" t="s">
        <v>521</v>
      </c>
      <c r="J15" t="str">
        <f t="shared" si="2"/>
        <v>&lt;G2E&gt;&lt;G1P&gt;`     Today with Gcredit</v>
      </c>
    </row>
    <row r="16" spans="1:10" ht="15.75" x14ac:dyDescent="0.25">
      <c r="A16" s="116">
        <v>1006</v>
      </c>
      <c r="B16" s="117" t="s">
        <v>1366</v>
      </c>
      <c r="C16" t="s">
        <v>6</v>
      </c>
      <c r="D16" t="s">
        <v>323</v>
      </c>
      <c r="E16" t="s">
        <v>322</v>
      </c>
      <c r="F16" t="s">
        <v>327</v>
      </c>
      <c r="G16">
        <f t="shared" si="0"/>
        <v>1006</v>
      </c>
      <c r="H16" t="str">
        <f t="shared" si="1"/>
        <v>`CAN BORROW MONEY (NET)&lt;Q&gt;</v>
      </c>
      <c r="J16" t="str">
        <f t="shared" si="2"/>
        <v>`CAN BORROW MONEY (NET)&lt;Q&gt;</v>
      </c>
    </row>
    <row r="17" spans="1:10" x14ac:dyDescent="0.25">
      <c r="A17" s="116">
        <v>1006</v>
      </c>
      <c r="B17" s="118" t="s">
        <v>1324</v>
      </c>
      <c r="C17" t="s">
        <v>16</v>
      </c>
      <c r="D17" t="s">
        <v>318</v>
      </c>
      <c r="F17" t="s">
        <v>326</v>
      </c>
      <c r="G17">
        <f t="shared" si="0"/>
        <v>1006</v>
      </c>
      <c r="H17" t="str">
        <f t="shared" si="1"/>
        <v>`     Can borrow money</v>
      </c>
      <c r="I17" t="s">
        <v>522</v>
      </c>
      <c r="J17" t="str">
        <f t="shared" si="2"/>
        <v>&lt;G1P&gt;`     Can borrow money</v>
      </c>
    </row>
    <row r="18" spans="1:10" ht="31.5" x14ac:dyDescent="0.25">
      <c r="A18" s="116" t="s">
        <v>1428</v>
      </c>
      <c r="B18" s="117" t="s">
        <v>1367</v>
      </c>
      <c r="C18" t="s">
        <v>6</v>
      </c>
      <c r="D18" t="s">
        <v>323</v>
      </c>
      <c r="E18" t="s">
        <v>322</v>
      </c>
      <c r="F18" t="s">
        <v>327</v>
      </c>
      <c r="G18" t="str">
        <f t="shared" si="0"/>
        <v>1007+1045+1049</v>
      </c>
      <c r="H18" t="str">
        <f t="shared" si="1"/>
        <v>`BORROW MONEY FROM GCASH FOR GROCERY EXPENSES (NET)&lt;Q&gt;</v>
      </c>
      <c r="J18" t="str">
        <f t="shared" si="2"/>
        <v>`BORROW MONEY FROM GCASH FOR GROCERY EXPENSES (NET)&lt;Q&gt;</v>
      </c>
    </row>
    <row r="19" spans="1:10" x14ac:dyDescent="0.25">
      <c r="A19" s="116">
        <v>1007</v>
      </c>
      <c r="B19" s="118" t="s">
        <v>1368</v>
      </c>
      <c r="C19" t="s">
        <v>16</v>
      </c>
      <c r="D19" t="s">
        <v>318</v>
      </c>
      <c r="F19" t="s">
        <v>326</v>
      </c>
      <c r="G19">
        <f t="shared" si="0"/>
        <v>1007</v>
      </c>
      <c r="H19" t="str">
        <f t="shared" si="1"/>
        <v>`     Can borrow money from GCash for grocery expenses</v>
      </c>
      <c r="I19" t="s">
        <v>520</v>
      </c>
      <c r="J19" t="str">
        <f t="shared" si="2"/>
        <v>&lt;G2B&gt;&lt;G1P&gt;`     Can borrow money from GCash for grocery expenses</v>
      </c>
    </row>
    <row r="20" spans="1:10" x14ac:dyDescent="0.25">
      <c r="A20" s="121">
        <v>1045</v>
      </c>
      <c r="B20" s="122" t="s">
        <v>1369</v>
      </c>
      <c r="C20" t="s">
        <v>16</v>
      </c>
      <c r="D20" t="s">
        <v>318</v>
      </c>
      <c r="F20" t="s">
        <v>326</v>
      </c>
      <c r="G20">
        <f t="shared" si="0"/>
        <v>1045</v>
      </c>
      <c r="H20" t="str">
        <f t="shared" si="1"/>
        <v>`     Can be used for payment at grocery</v>
      </c>
      <c r="I20" t="s">
        <v>522</v>
      </c>
      <c r="J20" t="str">
        <f t="shared" si="2"/>
        <v>&lt;G1P&gt;`     Can be used for payment at grocery</v>
      </c>
    </row>
    <row r="21" spans="1:10" ht="28.5" x14ac:dyDescent="0.25">
      <c r="A21" s="119">
        <v>1049</v>
      </c>
      <c r="B21" s="120" t="s">
        <v>1370</v>
      </c>
      <c r="C21" t="s">
        <v>16</v>
      </c>
      <c r="D21" t="s">
        <v>318</v>
      </c>
      <c r="F21" t="s">
        <v>326</v>
      </c>
      <c r="G21">
        <f t="shared" si="0"/>
        <v>1049</v>
      </c>
      <c r="H21" t="str">
        <f t="shared" si="1"/>
        <v>`     If there is lack of  ingredients  at home get a loan in GGives</v>
      </c>
      <c r="I21" t="s">
        <v>521</v>
      </c>
      <c r="J21" t="str">
        <f t="shared" si="2"/>
        <v>&lt;G2E&gt;&lt;G1P&gt;`     If there is lack of  ingredients  at home get a loan in GGives</v>
      </c>
    </row>
    <row r="22" spans="1:10" ht="15.75" x14ac:dyDescent="0.25">
      <c r="A22" s="116" t="s">
        <v>1429</v>
      </c>
      <c r="B22" s="117" t="s">
        <v>734</v>
      </c>
      <c r="C22" t="s">
        <v>6</v>
      </c>
      <c r="D22" t="s">
        <v>323</v>
      </c>
      <c r="E22" t="s">
        <v>322</v>
      </c>
      <c r="F22" t="s">
        <v>327</v>
      </c>
      <c r="G22" t="str">
        <f t="shared" si="0"/>
        <v>1008+1042</v>
      </c>
      <c r="H22" t="str">
        <f t="shared" si="1"/>
        <v>`GCASH IS RELIABLE (NET)&lt;Q&gt;</v>
      </c>
      <c r="J22" t="str">
        <f t="shared" si="2"/>
        <v>`GCASH IS RELIABLE (NET)&lt;Q&gt;</v>
      </c>
    </row>
    <row r="23" spans="1:10" x14ac:dyDescent="0.25">
      <c r="A23" s="116">
        <v>1008</v>
      </c>
      <c r="B23" s="118" t="s">
        <v>735</v>
      </c>
      <c r="C23" t="s">
        <v>16</v>
      </c>
      <c r="D23" t="s">
        <v>318</v>
      </c>
      <c r="F23" t="s">
        <v>326</v>
      </c>
      <c r="G23">
        <f t="shared" si="0"/>
        <v>1008</v>
      </c>
      <c r="H23" t="str">
        <f t="shared" si="1"/>
        <v>`     GCash is reliable</v>
      </c>
      <c r="I23" t="s">
        <v>520</v>
      </c>
      <c r="J23" t="str">
        <f t="shared" si="2"/>
        <v>&lt;G2B&gt;&lt;G1P&gt;`     GCash is reliable</v>
      </c>
    </row>
    <row r="24" spans="1:10" x14ac:dyDescent="0.25">
      <c r="A24" s="121">
        <v>1042</v>
      </c>
      <c r="B24" s="122" t="s">
        <v>1371</v>
      </c>
      <c r="C24" t="s">
        <v>16</v>
      </c>
      <c r="D24" t="s">
        <v>318</v>
      </c>
      <c r="F24" t="s">
        <v>326</v>
      </c>
      <c r="G24">
        <f t="shared" si="0"/>
        <v>1042</v>
      </c>
      <c r="H24" t="str">
        <f t="shared" si="1"/>
        <v>`     GCash is helpful</v>
      </c>
      <c r="I24" t="s">
        <v>521</v>
      </c>
      <c r="J24" t="str">
        <f t="shared" si="2"/>
        <v>&lt;G2E&gt;&lt;G1P&gt;`     GCash is helpful</v>
      </c>
    </row>
    <row r="25" spans="1:10" ht="15.75" x14ac:dyDescent="0.25">
      <c r="A25" s="116">
        <v>1009</v>
      </c>
      <c r="B25" s="117" t="s">
        <v>1372</v>
      </c>
      <c r="C25" t="s">
        <v>6</v>
      </c>
      <c r="D25" t="s">
        <v>323</v>
      </c>
      <c r="E25" t="s">
        <v>322</v>
      </c>
      <c r="F25" t="s">
        <v>327</v>
      </c>
      <c r="G25">
        <f t="shared" si="0"/>
        <v>1009</v>
      </c>
      <c r="H25" t="str">
        <f t="shared" si="1"/>
        <v>`GCREDIT IS RELIABLE (NET)&lt;Q&gt;</v>
      </c>
      <c r="J25" t="str">
        <f t="shared" si="2"/>
        <v>`GCREDIT IS RELIABLE (NET)&lt;Q&gt;</v>
      </c>
    </row>
    <row r="26" spans="1:10" x14ac:dyDescent="0.25">
      <c r="A26" s="116">
        <v>1009</v>
      </c>
      <c r="B26" s="118" t="s">
        <v>1292</v>
      </c>
      <c r="C26" t="s">
        <v>16</v>
      </c>
      <c r="D26" t="s">
        <v>318</v>
      </c>
      <c r="F26" t="s">
        <v>326</v>
      </c>
      <c r="G26">
        <f t="shared" si="0"/>
        <v>1009</v>
      </c>
      <c r="H26" t="str">
        <f t="shared" si="1"/>
        <v>`     GCredit is always reliable</v>
      </c>
      <c r="I26" t="s">
        <v>522</v>
      </c>
      <c r="J26" t="str">
        <f t="shared" si="2"/>
        <v>&lt;G1P&gt;`     GCredit is always reliable</v>
      </c>
    </row>
    <row r="27" spans="1:10" ht="15.75" x14ac:dyDescent="0.25">
      <c r="A27" s="116" t="s">
        <v>1430</v>
      </c>
      <c r="B27" s="117" t="s">
        <v>1373</v>
      </c>
      <c r="C27" t="s">
        <v>6</v>
      </c>
      <c r="D27" t="s">
        <v>323</v>
      </c>
      <c r="E27" t="s">
        <v>322</v>
      </c>
      <c r="F27" t="s">
        <v>327</v>
      </c>
      <c r="G27" t="str">
        <f t="shared" si="0"/>
        <v>1010+1011+1051</v>
      </c>
      <c r="H27" t="str">
        <f t="shared" si="1"/>
        <v>`LOAN AMOUNT (NET)&lt;Q&gt;</v>
      </c>
      <c r="J27" t="str">
        <f t="shared" si="2"/>
        <v>`LOAN AMOUNT (NET)&lt;Q&gt;</v>
      </c>
    </row>
    <row r="28" spans="1:10" ht="28.5" x14ac:dyDescent="0.25">
      <c r="A28" s="116">
        <v>1010</v>
      </c>
      <c r="B28" s="118" t="s">
        <v>1374</v>
      </c>
      <c r="C28" t="s">
        <v>16</v>
      </c>
      <c r="D28" t="s">
        <v>318</v>
      </c>
      <c r="F28" t="s">
        <v>326</v>
      </c>
      <c r="G28">
        <f t="shared" si="0"/>
        <v>1010</v>
      </c>
      <c r="H28" t="str">
        <f t="shared" si="1"/>
        <v>`     Can borrow money from GCash using GCredit for grocery expenses from Php1,000 to Php500k</v>
      </c>
      <c r="I28" t="s">
        <v>520</v>
      </c>
      <c r="J28" t="str">
        <f t="shared" si="2"/>
        <v>&lt;G2B&gt;&lt;G1P&gt;`     Can borrow money from GCash using GCredit for grocery expenses from Php1,000 to Php500k</v>
      </c>
    </row>
    <row r="29" spans="1:10" ht="28.5" x14ac:dyDescent="0.25">
      <c r="A29" s="116">
        <v>1011</v>
      </c>
      <c r="B29" s="118" t="s">
        <v>1375</v>
      </c>
      <c r="C29" t="s">
        <v>16</v>
      </c>
      <c r="D29" t="s">
        <v>318</v>
      </c>
      <c r="F29" t="s">
        <v>326</v>
      </c>
      <c r="G29">
        <f t="shared" si="0"/>
        <v>1011</v>
      </c>
      <c r="H29" t="str">
        <f t="shared" si="1"/>
        <v>`     Can borrow money from GCash for grocery expenses from Php1,000 to Php500k</v>
      </c>
      <c r="I29" t="s">
        <v>522</v>
      </c>
      <c r="J29" t="str">
        <f t="shared" si="2"/>
        <v>&lt;G1P&gt;`     Can borrow money from GCash for grocery expenses from Php1,000 to Php500k</v>
      </c>
    </row>
    <row r="30" spans="1:10" x14ac:dyDescent="0.25">
      <c r="A30" s="123">
        <v>1051</v>
      </c>
      <c r="B30" s="124" t="s">
        <v>1376</v>
      </c>
      <c r="C30" t="s">
        <v>16</v>
      </c>
      <c r="D30" t="s">
        <v>318</v>
      </c>
      <c r="F30" t="s">
        <v>326</v>
      </c>
      <c r="G30">
        <f t="shared" si="0"/>
        <v>1051</v>
      </c>
      <c r="H30" t="str">
        <f t="shared" si="1"/>
        <v>`     Can borrow up to 50k from gcredit</v>
      </c>
      <c r="I30" t="s">
        <v>521</v>
      </c>
      <c r="J30" t="str">
        <f t="shared" si="2"/>
        <v>&lt;G2E&gt;&lt;G1P&gt;`     Can borrow up to 50k from gcredit</v>
      </c>
    </row>
    <row r="31" spans="1:10" ht="15.75" x14ac:dyDescent="0.25">
      <c r="A31" s="116">
        <v>1012</v>
      </c>
      <c r="B31" s="117" t="s">
        <v>1377</v>
      </c>
      <c r="C31" t="s">
        <v>6</v>
      </c>
      <c r="D31" t="s">
        <v>323</v>
      </c>
      <c r="E31" t="s">
        <v>322</v>
      </c>
      <c r="F31" t="s">
        <v>327</v>
      </c>
      <c r="G31">
        <f t="shared" si="0"/>
        <v>1012</v>
      </c>
      <c r="H31" t="str">
        <f t="shared" si="1"/>
        <v>`LOAN FROM GCASH (NET)&lt;Q&gt;</v>
      </c>
      <c r="J31" t="str">
        <f t="shared" si="2"/>
        <v>`LOAN FROM GCASH (NET)&lt;Q&gt;</v>
      </c>
    </row>
    <row r="32" spans="1:10" x14ac:dyDescent="0.25">
      <c r="A32" s="116">
        <v>1012</v>
      </c>
      <c r="B32" s="129" t="s">
        <v>1378</v>
      </c>
      <c r="C32" t="s">
        <v>16</v>
      </c>
      <c r="D32" t="s">
        <v>318</v>
      </c>
      <c r="F32" t="s">
        <v>326</v>
      </c>
      <c r="G32">
        <f t="shared" si="0"/>
        <v>1012</v>
      </c>
      <c r="H32" t="str">
        <f t="shared" si="1"/>
        <v>`     Can borrow money from GCash</v>
      </c>
      <c r="I32" t="s">
        <v>522</v>
      </c>
      <c r="J32" t="str">
        <f t="shared" si="2"/>
        <v>&lt;G1P&gt;`     Can borrow money from GCash</v>
      </c>
    </row>
    <row r="33" spans="1:10" ht="31.5" x14ac:dyDescent="0.25">
      <c r="A33" s="116">
        <v>1013</v>
      </c>
      <c r="B33" s="117" t="s">
        <v>1379</v>
      </c>
      <c r="C33" t="s">
        <v>6</v>
      </c>
      <c r="D33" t="s">
        <v>323</v>
      </c>
      <c r="E33" t="s">
        <v>322</v>
      </c>
      <c r="F33" t="s">
        <v>327</v>
      </c>
      <c r="G33">
        <f t="shared" si="0"/>
        <v>1013</v>
      </c>
      <c r="H33" t="str">
        <f t="shared" si="1"/>
        <v>`CAN BORROW FROM GCASH FOR DAILY EXPENSES (NET)&lt;Q&gt;</v>
      </c>
      <c r="J33" t="str">
        <f t="shared" si="2"/>
        <v>`CAN BORROW FROM GCASH FOR DAILY EXPENSES (NET)&lt;Q&gt;</v>
      </c>
    </row>
    <row r="34" spans="1:10" x14ac:dyDescent="0.25">
      <c r="A34" s="116">
        <v>1013</v>
      </c>
      <c r="B34" s="118" t="s">
        <v>1380</v>
      </c>
      <c r="C34" t="s">
        <v>16</v>
      </c>
      <c r="D34" t="s">
        <v>318</v>
      </c>
      <c r="F34" t="s">
        <v>326</v>
      </c>
      <c r="G34">
        <f t="shared" ref="G34:G65" si="3">IF(A34="","",A34)</f>
        <v>1013</v>
      </c>
      <c r="H34" t="str">
        <f t="shared" ref="H34:H65" si="4">_xlfn.CONCAT(D34,SUBSTITUTE(B34,"""","`"""),E34)</f>
        <v>`     Can borrow from GCash for daily expenses</v>
      </c>
      <c r="I34" t="s">
        <v>522</v>
      </c>
      <c r="J34" t="str">
        <f t="shared" ref="J34:J65" si="5">_xlfn.CONCAT(I34,H34)</f>
        <v>&lt;G1P&gt;`     Can borrow from GCash for daily expenses</v>
      </c>
    </row>
    <row r="35" spans="1:10" ht="15.75" x14ac:dyDescent="0.25">
      <c r="A35" s="116" t="s">
        <v>1431</v>
      </c>
      <c r="B35" s="117" t="s">
        <v>1381</v>
      </c>
      <c r="C35" t="s">
        <v>6</v>
      </c>
      <c r="D35" t="s">
        <v>323</v>
      </c>
      <c r="E35" t="s">
        <v>322</v>
      </c>
      <c r="F35" t="s">
        <v>327</v>
      </c>
      <c r="G35" t="str">
        <f t="shared" si="3"/>
        <v>1022+1054</v>
      </c>
      <c r="H35" t="str">
        <f t="shared" si="4"/>
        <v>`CONVENIENT(NET)&lt;Q&gt;</v>
      </c>
      <c r="J35" t="str">
        <f t="shared" si="5"/>
        <v>`CONVENIENT(NET)&lt;Q&gt;</v>
      </c>
    </row>
    <row r="36" spans="1:10" x14ac:dyDescent="0.25">
      <c r="A36" s="121">
        <v>1022</v>
      </c>
      <c r="B36" s="122" t="s">
        <v>730</v>
      </c>
      <c r="C36" t="s">
        <v>16</v>
      </c>
      <c r="D36" t="s">
        <v>318</v>
      </c>
      <c r="F36" t="s">
        <v>326</v>
      </c>
      <c r="G36">
        <f t="shared" si="3"/>
        <v>1022</v>
      </c>
      <c r="H36" t="str">
        <f t="shared" si="4"/>
        <v>`     Convenient to use</v>
      </c>
      <c r="I36" t="s">
        <v>520</v>
      </c>
      <c r="J36" t="str">
        <f t="shared" si="5"/>
        <v>&lt;G2B&gt;&lt;G1P&gt;`     Convenient to use</v>
      </c>
    </row>
    <row r="37" spans="1:10" x14ac:dyDescent="0.25">
      <c r="A37" s="123">
        <v>1054</v>
      </c>
      <c r="B37" s="124" t="s">
        <v>1382</v>
      </c>
      <c r="C37" t="s">
        <v>16</v>
      </c>
      <c r="D37" t="s">
        <v>318</v>
      </c>
      <c r="F37" t="s">
        <v>326</v>
      </c>
      <c r="G37">
        <f t="shared" si="3"/>
        <v>1054</v>
      </c>
      <c r="H37" t="str">
        <f t="shared" si="4"/>
        <v>`     Gcash is convenient for emergency</v>
      </c>
      <c r="I37" t="s">
        <v>521</v>
      </c>
      <c r="J37" t="str">
        <f t="shared" si="5"/>
        <v>&lt;G2E&gt;&lt;G1P&gt;`     Gcash is convenient for emergency</v>
      </c>
    </row>
    <row r="38" spans="1:10" ht="31.5" x14ac:dyDescent="0.25">
      <c r="A38" s="116" t="s">
        <v>1432</v>
      </c>
      <c r="B38" s="117" t="s">
        <v>1383</v>
      </c>
      <c r="C38" t="s">
        <v>6</v>
      </c>
      <c r="D38" t="s">
        <v>323</v>
      </c>
      <c r="E38" t="s">
        <v>322</v>
      </c>
      <c r="F38" t="s">
        <v>327</v>
      </c>
      <c r="G38" t="str">
        <f t="shared" si="3"/>
        <v>1014+1040</v>
      </c>
      <c r="H38" t="str">
        <f t="shared" si="4"/>
        <v>`CAN BORROW MONEY FOR GROCERY EXPENSES (NET)&lt;Q&gt;</v>
      </c>
      <c r="J38" t="str">
        <f t="shared" si="5"/>
        <v>`CAN BORROW MONEY FOR GROCERY EXPENSES (NET)&lt;Q&gt;</v>
      </c>
    </row>
    <row r="39" spans="1:10" x14ac:dyDescent="0.25">
      <c r="A39" s="116">
        <v>1014</v>
      </c>
      <c r="B39" s="118" t="s">
        <v>1384</v>
      </c>
      <c r="C39" t="s">
        <v>16</v>
      </c>
      <c r="D39" t="s">
        <v>318</v>
      </c>
      <c r="F39" t="s">
        <v>326</v>
      </c>
      <c r="G39">
        <f t="shared" si="3"/>
        <v>1014</v>
      </c>
      <c r="H39" t="str">
        <f t="shared" si="4"/>
        <v>`     Can borrow money fro grocery expenses</v>
      </c>
      <c r="I39" t="s">
        <v>520</v>
      </c>
      <c r="J39" t="str">
        <f t="shared" si="5"/>
        <v>&lt;G2B&gt;&lt;G1P&gt;`     Can borrow money fro grocery expenses</v>
      </c>
    </row>
    <row r="40" spans="1:10" ht="28.5" x14ac:dyDescent="0.25">
      <c r="A40" s="121">
        <v>1040</v>
      </c>
      <c r="B40" s="122" t="s">
        <v>1385</v>
      </c>
      <c r="C40" t="s">
        <v>16</v>
      </c>
      <c r="D40" t="s">
        <v>318</v>
      </c>
      <c r="F40" t="s">
        <v>326</v>
      </c>
      <c r="G40">
        <f t="shared" si="3"/>
        <v>1040</v>
      </c>
      <c r="H40" t="str">
        <f t="shared" si="4"/>
        <v>`     His friend suggested that he take a loan to solve his cooking problem</v>
      </c>
      <c r="I40" t="s">
        <v>521</v>
      </c>
      <c r="J40" t="str">
        <f t="shared" si="5"/>
        <v>&lt;G2E&gt;&lt;G1P&gt;`     His friend suggested that he take a loan to solve his cooking problem</v>
      </c>
    </row>
    <row r="41" spans="1:10" ht="28.5" x14ac:dyDescent="0.25">
      <c r="A41" s="116" t="s">
        <v>1433</v>
      </c>
      <c r="B41" s="117" t="s">
        <v>1260</v>
      </c>
      <c r="C41" t="s">
        <v>6</v>
      </c>
      <c r="D41" t="s">
        <v>323</v>
      </c>
      <c r="E41" t="s">
        <v>322</v>
      </c>
      <c r="F41" t="s">
        <v>327</v>
      </c>
      <c r="G41" t="str">
        <f t="shared" si="3"/>
        <v>1015+1016+1017+1020+1026+1041+1050+1058+1064+1065</v>
      </c>
      <c r="H41" t="str">
        <f t="shared" si="4"/>
        <v>`GCREDIT (NET)&lt;Q&gt;</v>
      </c>
      <c r="J41" t="str">
        <f t="shared" si="5"/>
        <v>`GCREDIT (NET)&lt;Q&gt;</v>
      </c>
    </row>
    <row r="42" spans="1:10" x14ac:dyDescent="0.25">
      <c r="A42" s="116">
        <v>1015</v>
      </c>
      <c r="B42" s="118" t="s">
        <v>1261</v>
      </c>
      <c r="C42" t="s">
        <v>16</v>
      </c>
      <c r="D42" t="s">
        <v>318</v>
      </c>
      <c r="F42" t="s">
        <v>326</v>
      </c>
      <c r="G42">
        <f t="shared" si="3"/>
        <v>1015</v>
      </c>
      <c r="H42" t="str">
        <f t="shared" si="4"/>
        <v>`     Can borrow money from GCash using GCredit</v>
      </c>
      <c r="I42" t="s">
        <v>520</v>
      </c>
      <c r="J42" t="str">
        <f t="shared" si="5"/>
        <v>&lt;G2B&gt;&lt;G1P&gt;`     Can borrow money from GCash using GCredit</v>
      </c>
    </row>
    <row r="43" spans="1:10" ht="28.5" x14ac:dyDescent="0.25">
      <c r="A43" s="116">
        <v>1016</v>
      </c>
      <c r="B43" s="118" t="s">
        <v>1386</v>
      </c>
      <c r="C43" t="s">
        <v>16</v>
      </c>
      <c r="D43" t="s">
        <v>318</v>
      </c>
      <c r="F43" t="s">
        <v>326</v>
      </c>
      <c r="G43">
        <f t="shared" si="3"/>
        <v>1016</v>
      </c>
      <c r="H43" t="str">
        <f t="shared" si="4"/>
        <v>`     Can borrow money from GCash using GCredit for grocery expenses</v>
      </c>
      <c r="I43" t="s">
        <v>522</v>
      </c>
      <c r="J43" t="str">
        <f t="shared" si="5"/>
        <v>&lt;G1P&gt;`     Can borrow money from GCash using GCredit for grocery expenses</v>
      </c>
    </row>
    <row r="44" spans="1:10" x14ac:dyDescent="0.25">
      <c r="A44" s="116">
        <v>1017</v>
      </c>
      <c r="B44" s="118" t="s">
        <v>1387</v>
      </c>
      <c r="C44" t="s">
        <v>16</v>
      </c>
      <c r="D44" t="s">
        <v>318</v>
      </c>
      <c r="F44" t="s">
        <v>326</v>
      </c>
      <c r="G44">
        <f t="shared" si="3"/>
        <v>1017</v>
      </c>
      <c r="H44" t="str">
        <f t="shared" si="4"/>
        <v>`     Can borrow money from GCredit in times of need</v>
      </c>
      <c r="I44" t="s">
        <v>522</v>
      </c>
      <c r="J44" t="str">
        <f t="shared" si="5"/>
        <v>&lt;G1P&gt;`     Can borrow money from GCredit in times of need</v>
      </c>
    </row>
    <row r="45" spans="1:10" x14ac:dyDescent="0.25">
      <c r="A45" s="121">
        <v>1020</v>
      </c>
      <c r="B45" s="122" t="s">
        <v>1388</v>
      </c>
      <c r="C45" t="s">
        <v>16</v>
      </c>
      <c r="D45" t="s">
        <v>318</v>
      </c>
      <c r="F45" t="s">
        <v>326</v>
      </c>
      <c r="G45">
        <f t="shared" si="3"/>
        <v>1020</v>
      </c>
      <c r="H45" t="str">
        <f t="shared" si="4"/>
        <v>`     About GCredit</v>
      </c>
      <c r="I45" t="s">
        <v>522</v>
      </c>
      <c r="J45" t="str">
        <f t="shared" si="5"/>
        <v>&lt;G1P&gt;`     About GCredit</v>
      </c>
    </row>
    <row r="46" spans="1:10" x14ac:dyDescent="0.25">
      <c r="A46" s="121">
        <v>1026</v>
      </c>
      <c r="B46" s="122" t="s">
        <v>1389</v>
      </c>
      <c r="C46" t="s">
        <v>16</v>
      </c>
      <c r="D46" t="s">
        <v>318</v>
      </c>
      <c r="F46" t="s">
        <v>326</v>
      </c>
      <c r="G46">
        <f t="shared" si="3"/>
        <v>1026</v>
      </c>
      <c r="H46" t="str">
        <f t="shared" si="4"/>
        <v>`     GCredit has in GCash</v>
      </c>
      <c r="I46" t="s">
        <v>522</v>
      </c>
      <c r="J46" t="str">
        <f t="shared" si="5"/>
        <v>&lt;G1P&gt;`     GCredit has in GCash</v>
      </c>
    </row>
    <row r="47" spans="1:10" x14ac:dyDescent="0.25">
      <c r="A47" s="121">
        <v>1041</v>
      </c>
      <c r="B47" s="122" t="s">
        <v>1269</v>
      </c>
      <c r="C47" t="s">
        <v>16</v>
      </c>
      <c r="D47" t="s">
        <v>318</v>
      </c>
      <c r="F47" t="s">
        <v>326</v>
      </c>
      <c r="G47">
        <f t="shared" si="3"/>
        <v>1041</v>
      </c>
      <c r="H47" t="str">
        <f t="shared" si="4"/>
        <v>`     Gives GCredit</v>
      </c>
      <c r="I47" t="s">
        <v>522</v>
      </c>
      <c r="J47" t="str">
        <f t="shared" si="5"/>
        <v>&lt;G1P&gt;`     Gives GCredit</v>
      </c>
    </row>
    <row r="48" spans="1:10" x14ac:dyDescent="0.25">
      <c r="A48" s="121">
        <v>1050</v>
      </c>
      <c r="B48" s="122" t="s">
        <v>1263</v>
      </c>
      <c r="C48" t="s">
        <v>16</v>
      </c>
      <c r="D48" t="s">
        <v>318</v>
      </c>
      <c r="F48" t="s">
        <v>326</v>
      </c>
      <c r="G48">
        <f t="shared" si="3"/>
        <v>1050</v>
      </c>
      <c r="H48" t="str">
        <f t="shared" si="4"/>
        <v>`     GCredit</v>
      </c>
      <c r="I48" t="s">
        <v>522</v>
      </c>
      <c r="J48" t="str">
        <f t="shared" si="5"/>
        <v>&lt;G1P&gt;`     GCredit</v>
      </c>
    </row>
    <row r="49" spans="1:10" ht="28.5" x14ac:dyDescent="0.25">
      <c r="A49" s="123">
        <v>1058</v>
      </c>
      <c r="B49" s="124" t="s">
        <v>1390</v>
      </c>
      <c r="C49" t="s">
        <v>16</v>
      </c>
      <c r="D49" t="s">
        <v>318</v>
      </c>
      <c r="F49" t="s">
        <v>326</v>
      </c>
      <c r="G49">
        <f t="shared" si="3"/>
        <v>1058</v>
      </c>
      <c r="H49" t="str">
        <f t="shared" si="4"/>
        <v>`     Can borrow from GCredit in case lack of money for ingredients</v>
      </c>
      <c r="I49" t="s">
        <v>522</v>
      </c>
      <c r="J49" t="str">
        <f t="shared" si="5"/>
        <v>&lt;G1P&gt;`     Can borrow from GCredit in case lack of money for ingredients</v>
      </c>
    </row>
    <row r="50" spans="1:10" x14ac:dyDescent="0.25">
      <c r="A50" s="123">
        <v>1064</v>
      </c>
      <c r="B50" s="130" t="s">
        <v>1391</v>
      </c>
      <c r="C50" t="s">
        <v>16</v>
      </c>
      <c r="D50" t="s">
        <v>318</v>
      </c>
      <c r="F50" t="s">
        <v>326</v>
      </c>
      <c r="G50">
        <f t="shared" si="3"/>
        <v>1064</v>
      </c>
      <c r="H50" t="str">
        <f t="shared" si="4"/>
        <v>`     Gcredit can be used to buy anything</v>
      </c>
      <c r="I50" t="s">
        <v>522</v>
      </c>
      <c r="J50" t="str">
        <f t="shared" si="5"/>
        <v>&lt;G1P&gt;`     Gcredit can be used to buy anything</v>
      </c>
    </row>
    <row r="51" spans="1:10" x14ac:dyDescent="0.25">
      <c r="A51" s="123">
        <v>1065</v>
      </c>
      <c r="B51" s="130" t="s">
        <v>1392</v>
      </c>
      <c r="C51" t="s">
        <v>16</v>
      </c>
      <c r="D51" t="s">
        <v>318</v>
      </c>
      <c r="F51" t="s">
        <v>326</v>
      </c>
      <c r="G51">
        <f t="shared" si="3"/>
        <v>1065</v>
      </c>
      <c r="H51" t="str">
        <f t="shared" si="4"/>
        <v>`     Gcredit can be purchased at any store</v>
      </c>
      <c r="I51" t="s">
        <v>521</v>
      </c>
      <c r="J51" t="str">
        <f t="shared" si="5"/>
        <v>&lt;G2E&gt;&lt;G1P&gt;`     Gcredit can be purchased at any store</v>
      </c>
    </row>
    <row r="52" spans="1:10" ht="15.75" x14ac:dyDescent="0.25">
      <c r="A52" s="116" t="s">
        <v>1434</v>
      </c>
      <c r="B52" s="117" t="s">
        <v>1393</v>
      </c>
      <c r="C52" t="s">
        <v>6</v>
      </c>
      <c r="D52" t="s">
        <v>323</v>
      </c>
      <c r="E52" t="s">
        <v>322</v>
      </c>
      <c r="F52" t="s">
        <v>327</v>
      </c>
      <c r="G52" t="str">
        <f t="shared" si="3"/>
        <v>1018+1024+1057</v>
      </c>
      <c r="H52" t="str">
        <f t="shared" si="4"/>
        <v>`MENTIONS OF GCASH (NET)&lt;Q&gt;</v>
      </c>
      <c r="J52" t="str">
        <f t="shared" si="5"/>
        <v>`MENTIONS OF GCASH (NET)&lt;Q&gt;</v>
      </c>
    </row>
    <row r="53" spans="1:10" x14ac:dyDescent="0.25">
      <c r="A53" s="116">
        <v>1018</v>
      </c>
      <c r="B53" s="118" t="s">
        <v>641</v>
      </c>
      <c r="C53" t="s">
        <v>16</v>
      </c>
      <c r="D53" t="s">
        <v>318</v>
      </c>
      <c r="F53" t="s">
        <v>326</v>
      </c>
      <c r="G53">
        <f t="shared" si="3"/>
        <v>1018</v>
      </c>
      <c r="H53" t="str">
        <f t="shared" si="4"/>
        <v>`     GCash</v>
      </c>
      <c r="I53" t="s">
        <v>520</v>
      </c>
      <c r="J53" t="str">
        <f t="shared" si="5"/>
        <v>&lt;G2B&gt;&lt;G1P&gt;`     GCash</v>
      </c>
    </row>
    <row r="54" spans="1:10" x14ac:dyDescent="0.25">
      <c r="A54" s="116">
        <v>1024</v>
      </c>
      <c r="B54" s="118" t="s">
        <v>1394</v>
      </c>
      <c r="C54" t="s">
        <v>16</v>
      </c>
      <c r="D54" t="s">
        <v>318</v>
      </c>
      <c r="F54" t="s">
        <v>326</v>
      </c>
      <c r="G54">
        <f t="shared" si="3"/>
        <v>1024</v>
      </c>
      <c r="H54" t="str">
        <f t="shared" si="4"/>
        <v>`     GCash Credit</v>
      </c>
      <c r="I54" t="s">
        <v>522</v>
      </c>
      <c r="J54" t="str">
        <f t="shared" si="5"/>
        <v>&lt;G1P&gt;`     GCash Credit</v>
      </c>
    </row>
    <row r="55" spans="1:10" x14ac:dyDescent="0.25">
      <c r="A55" s="123">
        <v>1057</v>
      </c>
      <c r="B55" s="124" t="s">
        <v>442</v>
      </c>
      <c r="C55" t="s">
        <v>16</v>
      </c>
      <c r="D55" t="s">
        <v>318</v>
      </c>
      <c r="F55" t="s">
        <v>326</v>
      </c>
      <c r="G55">
        <f t="shared" si="3"/>
        <v>1057</v>
      </c>
      <c r="H55" t="str">
        <f t="shared" si="4"/>
        <v>`     Gcash loan</v>
      </c>
      <c r="I55" t="s">
        <v>521</v>
      </c>
      <c r="J55" t="str">
        <f t="shared" si="5"/>
        <v>&lt;G2E&gt;&lt;G1P&gt;`     Gcash loan</v>
      </c>
    </row>
    <row r="56" spans="1:10" ht="31.5" x14ac:dyDescent="0.25">
      <c r="A56" s="116" t="s">
        <v>1435</v>
      </c>
      <c r="B56" s="117" t="s">
        <v>1395</v>
      </c>
      <c r="C56" t="s">
        <v>6</v>
      </c>
      <c r="D56" t="s">
        <v>323</v>
      </c>
      <c r="E56" t="s">
        <v>322</v>
      </c>
      <c r="F56" t="s">
        <v>327</v>
      </c>
      <c r="G56" t="str">
        <f t="shared" si="3"/>
        <v>1035+1036</v>
      </c>
      <c r="H56" t="str">
        <f t="shared" si="4"/>
        <v>`FAST/ QUICK LOANS FROM GCASH NET (NET)&lt;Q&gt;</v>
      </c>
      <c r="J56" t="str">
        <f t="shared" si="5"/>
        <v>`FAST/ QUICK LOANS FROM GCASH NET (NET)&lt;Q&gt;</v>
      </c>
    </row>
    <row r="57" spans="1:10" x14ac:dyDescent="0.25">
      <c r="A57" s="121">
        <v>1035</v>
      </c>
      <c r="B57" s="122" t="s">
        <v>1396</v>
      </c>
      <c r="C57" t="s">
        <v>16</v>
      </c>
      <c r="D57" t="s">
        <v>318</v>
      </c>
      <c r="F57" t="s">
        <v>326</v>
      </c>
      <c r="G57">
        <f t="shared" si="3"/>
        <v>1035</v>
      </c>
      <c r="H57" t="str">
        <f t="shared" si="4"/>
        <v>`     Fast loaning processing</v>
      </c>
      <c r="I57" t="s">
        <v>520</v>
      </c>
      <c r="J57" t="str">
        <f t="shared" si="5"/>
        <v>&lt;G2B&gt;&lt;G1P&gt;`     Fast loaning processing</v>
      </c>
    </row>
    <row r="58" spans="1:10" x14ac:dyDescent="0.25">
      <c r="A58" s="121">
        <v>1036</v>
      </c>
      <c r="B58" s="122" t="s">
        <v>1397</v>
      </c>
      <c r="C58" t="s">
        <v>16</v>
      </c>
      <c r="D58" t="s">
        <v>318</v>
      </c>
      <c r="F58" t="s">
        <v>326</v>
      </c>
      <c r="G58">
        <f t="shared" si="3"/>
        <v>1036</v>
      </c>
      <c r="H58" t="str">
        <f t="shared" si="4"/>
        <v>`     Quick loan</v>
      </c>
      <c r="I58" t="s">
        <v>521</v>
      </c>
      <c r="J58" t="str">
        <f t="shared" si="5"/>
        <v>&lt;G2E&gt;&lt;G1P&gt;`     Quick loan</v>
      </c>
    </row>
    <row r="59" spans="1:10" ht="15.75" x14ac:dyDescent="0.25">
      <c r="A59" s="116" t="s">
        <v>1436</v>
      </c>
      <c r="B59" s="117" t="s">
        <v>1280</v>
      </c>
      <c r="C59" t="s">
        <v>6</v>
      </c>
      <c r="D59" t="s">
        <v>323</v>
      </c>
      <c r="E59" t="s">
        <v>322</v>
      </c>
      <c r="F59" t="s">
        <v>327</v>
      </c>
      <c r="G59" t="str">
        <f t="shared" si="3"/>
        <v>1028+1032+1033</v>
      </c>
      <c r="H59" t="str">
        <f t="shared" si="4"/>
        <v>`INSTANT LOANS FROM GCASH (NET)&lt;Q&gt;</v>
      </c>
      <c r="J59" t="str">
        <f t="shared" si="5"/>
        <v>`INSTANT LOANS FROM GCASH (NET)&lt;Q&gt;</v>
      </c>
    </row>
    <row r="60" spans="1:10" x14ac:dyDescent="0.25">
      <c r="A60" s="121">
        <v>1028</v>
      </c>
      <c r="B60" s="122" t="s">
        <v>1398</v>
      </c>
      <c r="C60" t="s">
        <v>16</v>
      </c>
      <c r="D60" t="s">
        <v>318</v>
      </c>
      <c r="F60" t="s">
        <v>326</v>
      </c>
      <c r="G60">
        <f t="shared" si="3"/>
        <v>1028</v>
      </c>
      <c r="H60" t="str">
        <f t="shared" si="4"/>
        <v>`     With GCash it's instant money</v>
      </c>
      <c r="I60" t="s">
        <v>520</v>
      </c>
      <c r="J60" t="str">
        <f t="shared" si="5"/>
        <v>&lt;G2B&gt;&lt;G1P&gt;`     With GCash it's instant money</v>
      </c>
    </row>
    <row r="61" spans="1:10" x14ac:dyDescent="0.25">
      <c r="A61" s="121">
        <v>1032</v>
      </c>
      <c r="B61" s="122" t="s">
        <v>1399</v>
      </c>
      <c r="C61" t="s">
        <v>16</v>
      </c>
      <c r="D61" t="s">
        <v>318</v>
      </c>
      <c r="F61" t="s">
        <v>326</v>
      </c>
      <c r="G61">
        <f t="shared" si="3"/>
        <v>1032</v>
      </c>
      <c r="H61" t="str">
        <f t="shared" si="4"/>
        <v>`     Instant Credit</v>
      </c>
      <c r="I61" t="s">
        <v>522</v>
      </c>
      <c r="J61" t="str">
        <f t="shared" si="5"/>
        <v>&lt;G1P&gt;`     Instant Credit</v>
      </c>
    </row>
    <row r="62" spans="1:10" x14ac:dyDescent="0.25">
      <c r="A62" s="121">
        <v>1033</v>
      </c>
      <c r="B62" s="122" t="s">
        <v>1400</v>
      </c>
      <c r="C62" t="s">
        <v>16</v>
      </c>
      <c r="D62" t="s">
        <v>318</v>
      </c>
      <c r="F62" t="s">
        <v>326</v>
      </c>
      <c r="G62">
        <f t="shared" si="3"/>
        <v>1033</v>
      </c>
      <c r="H62" t="str">
        <f t="shared" si="4"/>
        <v>`     Instant Credit line borrow with GCash</v>
      </c>
      <c r="I62" t="s">
        <v>521</v>
      </c>
      <c r="J62" t="str">
        <f t="shared" si="5"/>
        <v>&lt;G2E&gt;&lt;G1P&gt;`     Instant Credit line borrow with GCash</v>
      </c>
    </row>
    <row r="63" spans="1:10" ht="31.5" x14ac:dyDescent="0.25">
      <c r="A63" s="116">
        <v>1029</v>
      </c>
      <c r="B63" s="117" t="s">
        <v>1401</v>
      </c>
      <c r="C63" t="s">
        <v>6</v>
      </c>
      <c r="D63" t="s">
        <v>323</v>
      </c>
      <c r="E63" t="s">
        <v>322</v>
      </c>
      <c r="F63" t="s">
        <v>327</v>
      </c>
      <c r="G63">
        <f t="shared" si="3"/>
        <v>1029</v>
      </c>
      <c r="H63" t="str">
        <f t="shared" si="4"/>
        <v>`CAN BORROW MONEY FROM GCREDIT TO PAY FOR BILLS (NET)&lt;Q&gt;</v>
      </c>
      <c r="J63" t="str">
        <f t="shared" si="5"/>
        <v>`CAN BORROW MONEY FROM GCREDIT TO PAY FOR BILLS (NET)&lt;Q&gt;</v>
      </c>
    </row>
    <row r="64" spans="1:10" x14ac:dyDescent="0.25">
      <c r="A64" s="121">
        <v>1029</v>
      </c>
      <c r="B64" s="122" t="s">
        <v>1402</v>
      </c>
      <c r="C64" t="s">
        <v>16</v>
      </c>
      <c r="D64" t="s">
        <v>318</v>
      </c>
      <c r="F64" t="s">
        <v>326</v>
      </c>
      <c r="G64">
        <f t="shared" si="3"/>
        <v>1029</v>
      </c>
      <c r="H64" t="str">
        <f t="shared" si="4"/>
        <v>`     can borrow to pay for water using GCredit</v>
      </c>
      <c r="I64" t="s">
        <v>522</v>
      </c>
      <c r="J64" t="str">
        <f t="shared" si="5"/>
        <v>&lt;G1P&gt;`     can borrow to pay for water using GCredit</v>
      </c>
    </row>
    <row r="65" spans="1:10" ht="31.5" x14ac:dyDescent="0.25">
      <c r="A65" s="116">
        <v>1037</v>
      </c>
      <c r="B65" s="117" t="s">
        <v>1403</v>
      </c>
      <c r="C65" t="s">
        <v>6</v>
      </c>
      <c r="D65" t="s">
        <v>323</v>
      </c>
      <c r="E65" t="s">
        <v>322</v>
      </c>
      <c r="F65" t="s">
        <v>327</v>
      </c>
      <c r="G65">
        <f t="shared" si="3"/>
        <v>1037</v>
      </c>
      <c r="H65" t="str">
        <f t="shared" si="4"/>
        <v>`EASE OF GETTING A LOAN FROM GCASH (NET)&lt;Q&gt;</v>
      </c>
      <c r="J65" t="str">
        <f t="shared" si="5"/>
        <v>`EASE OF GETTING A LOAN FROM GCASH (NET)&lt;Q&gt;</v>
      </c>
    </row>
    <row r="66" spans="1:10" x14ac:dyDescent="0.25">
      <c r="A66" s="121">
        <v>1037</v>
      </c>
      <c r="B66" s="122" t="s">
        <v>1404</v>
      </c>
      <c r="C66" t="s">
        <v>16</v>
      </c>
      <c r="D66" t="s">
        <v>318</v>
      </c>
      <c r="F66" t="s">
        <v>326</v>
      </c>
      <c r="G66">
        <f t="shared" ref="G66:G99" si="6">IF(A66="","",A66)</f>
        <v>1037</v>
      </c>
      <c r="H66" t="str">
        <f t="shared" ref="H66:H99" si="7">_xlfn.CONCAT(D66,SUBSTITUTE(B66,"""","`"""),E66)</f>
        <v>`     Easy to get Credit in GCash</v>
      </c>
      <c r="I66" t="s">
        <v>522</v>
      </c>
      <c r="J66" t="str">
        <f t="shared" ref="J66:J97" si="8">_xlfn.CONCAT(I66,H66)</f>
        <v>&lt;G1P&gt;`     Easy to get Credit in GCash</v>
      </c>
    </row>
    <row r="67" spans="1:10" ht="15.75" x14ac:dyDescent="0.25">
      <c r="A67" s="116">
        <v>1038</v>
      </c>
      <c r="B67" s="117" t="s">
        <v>1405</v>
      </c>
      <c r="C67" t="s">
        <v>6</v>
      </c>
      <c r="D67" t="s">
        <v>323</v>
      </c>
      <c r="E67" t="s">
        <v>322</v>
      </c>
      <c r="F67" t="s">
        <v>327</v>
      </c>
      <c r="G67">
        <f t="shared" si="6"/>
        <v>1038</v>
      </c>
      <c r="H67" t="str">
        <f t="shared" si="7"/>
        <v>`EASE OF USING GCREDIT (NET)&lt;Q&gt;</v>
      </c>
      <c r="J67" t="str">
        <f t="shared" si="8"/>
        <v>`EASE OF USING GCREDIT (NET)&lt;Q&gt;</v>
      </c>
    </row>
    <row r="68" spans="1:10" x14ac:dyDescent="0.25">
      <c r="A68" s="121">
        <v>1038</v>
      </c>
      <c r="B68" s="122" t="s">
        <v>1406</v>
      </c>
      <c r="C68" t="s">
        <v>16</v>
      </c>
      <c r="D68" t="s">
        <v>318</v>
      </c>
      <c r="F68" t="s">
        <v>326</v>
      </c>
      <c r="G68">
        <f t="shared" si="6"/>
        <v>1038</v>
      </c>
      <c r="H68" t="str">
        <f t="shared" si="7"/>
        <v>`     Easy to use GCredit</v>
      </c>
      <c r="I68" t="s">
        <v>522</v>
      </c>
      <c r="J68" t="str">
        <f t="shared" si="8"/>
        <v>&lt;G1P&gt;`     Easy to use GCredit</v>
      </c>
    </row>
    <row r="69" spans="1:10" ht="15.75" x14ac:dyDescent="0.25">
      <c r="A69" s="116">
        <v>1030</v>
      </c>
      <c r="B69" s="117" t="s">
        <v>1407</v>
      </c>
      <c r="C69" t="s">
        <v>6</v>
      </c>
      <c r="D69" t="s">
        <v>323</v>
      </c>
      <c r="E69" t="s">
        <v>322</v>
      </c>
      <c r="F69" t="s">
        <v>327</v>
      </c>
      <c r="G69">
        <f t="shared" si="6"/>
        <v>1030</v>
      </c>
      <c r="H69" t="str">
        <f t="shared" si="7"/>
        <v>`FAST TRASACTION (NET)&lt;Q&gt;</v>
      </c>
      <c r="J69" t="str">
        <f t="shared" si="8"/>
        <v>`FAST TRASACTION (NET)&lt;Q&gt;</v>
      </c>
    </row>
    <row r="70" spans="1:10" x14ac:dyDescent="0.25">
      <c r="A70" s="121">
        <v>1030</v>
      </c>
      <c r="B70" s="122" t="s">
        <v>412</v>
      </c>
      <c r="C70" t="s">
        <v>16</v>
      </c>
      <c r="D70" t="s">
        <v>318</v>
      </c>
      <c r="F70" t="s">
        <v>326</v>
      </c>
      <c r="G70">
        <f t="shared" si="6"/>
        <v>1030</v>
      </c>
      <c r="H70" t="str">
        <f t="shared" si="7"/>
        <v>`     Fast transaction</v>
      </c>
      <c r="I70" t="s">
        <v>522</v>
      </c>
      <c r="J70" t="str">
        <f t="shared" si="8"/>
        <v>&lt;G1P&gt;`     Fast transaction</v>
      </c>
    </row>
    <row r="71" spans="1:10" ht="15.75" x14ac:dyDescent="0.25">
      <c r="A71" s="116">
        <v>1044</v>
      </c>
      <c r="B71" s="117" t="s">
        <v>388</v>
      </c>
      <c r="C71" t="s">
        <v>6</v>
      </c>
      <c r="D71" t="s">
        <v>323</v>
      </c>
      <c r="E71" t="s">
        <v>322</v>
      </c>
      <c r="F71" t="s">
        <v>327</v>
      </c>
      <c r="G71">
        <f t="shared" si="6"/>
        <v>1044</v>
      </c>
      <c r="H71" t="str">
        <f t="shared" si="7"/>
        <v>`GCASH CAN BE USED ANYWHERE (NET)&lt;Q&gt;</v>
      </c>
      <c r="J71" t="str">
        <f t="shared" si="8"/>
        <v>`GCASH CAN BE USED ANYWHERE (NET)&lt;Q&gt;</v>
      </c>
    </row>
    <row r="72" spans="1:10" x14ac:dyDescent="0.25">
      <c r="A72" s="121">
        <v>1044</v>
      </c>
      <c r="B72" s="122" t="s">
        <v>1408</v>
      </c>
      <c r="C72" t="s">
        <v>16</v>
      </c>
      <c r="D72" t="s">
        <v>318</v>
      </c>
      <c r="F72" t="s">
        <v>326</v>
      </c>
      <c r="G72">
        <f t="shared" si="6"/>
        <v>1044</v>
      </c>
      <c r="H72" t="str">
        <f t="shared" si="7"/>
        <v>`     Can ba used for payment anywhere</v>
      </c>
      <c r="I72" t="s">
        <v>522</v>
      </c>
      <c r="J72" t="str">
        <f t="shared" si="8"/>
        <v>&lt;G1P&gt;`     Can ba used for payment anywhere</v>
      </c>
    </row>
    <row r="73" spans="1:10" ht="15.75" x14ac:dyDescent="0.25">
      <c r="A73" s="116" t="s">
        <v>1437</v>
      </c>
      <c r="B73" s="117" t="s">
        <v>1273</v>
      </c>
      <c r="C73" t="s">
        <v>6</v>
      </c>
      <c r="D73" t="s">
        <v>323</v>
      </c>
      <c r="E73" t="s">
        <v>322</v>
      </c>
      <c r="F73" t="s">
        <v>327</v>
      </c>
      <c r="G73" t="str">
        <f t="shared" si="6"/>
        <v>1031+1059</v>
      </c>
      <c r="H73" t="str">
        <f t="shared" si="7"/>
        <v>`GLOAN (NET)&lt;Q&gt;</v>
      </c>
      <c r="J73" t="str">
        <f t="shared" si="8"/>
        <v>`GLOAN (NET)&lt;Q&gt;</v>
      </c>
    </row>
    <row r="74" spans="1:10" x14ac:dyDescent="0.25">
      <c r="A74" s="121">
        <v>1031</v>
      </c>
      <c r="B74" s="122" t="s">
        <v>977</v>
      </c>
      <c r="C74" t="s">
        <v>16</v>
      </c>
      <c r="D74" t="s">
        <v>318</v>
      </c>
      <c r="F74" t="s">
        <v>326</v>
      </c>
      <c r="G74">
        <f t="shared" si="6"/>
        <v>1031</v>
      </c>
      <c r="H74" t="str">
        <f t="shared" si="7"/>
        <v>`     GLoan</v>
      </c>
      <c r="I74" t="s">
        <v>520</v>
      </c>
      <c r="J74" t="str">
        <f t="shared" si="8"/>
        <v>&lt;G2B&gt;&lt;G1P&gt;`     GLoan</v>
      </c>
    </row>
    <row r="75" spans="1:10" ht="28.5" x14ac:dyDescent="0.25">
      <c r="A75" s="123">
        <v>1059</v>
      </c>
      <c r="B75" s="124" t="s">
        <v>1409</v>
      </c>
      <c r="C75" t="s">
        <v>16</v>
      </c>
      <c r="D75" t="s">
        <v>318</v>
      </c>
      <c r="F75" t="s">
        <v>326</v>
      </c>
      <c r="G75">
        <f t="shared" si="6"/>
        <v>1059</v>
      </c>
      <c r="H75" t="str">
        <f t="shared" si="7"/>
        <v>`     Can borrow from Gloan in case lack of money for ingredients</v>
      </c>
      <c r="I75" t="s">
        <v>521</v>
      </c>
      <c r="J75" t="str">
        <f t="shared" si="8"/>
        <v>&lt;G2E&gt;&lt;G1P&gt;`     Can borrow from Gloan in case lack of money for ingredients</v>
      </c>
    </row>
    <row r="76" spans="1:10" ht="15.75" x14ac:dyDescent="0.25">
      <c r="A76" s="116" t="s">
        <v>1438</v>
      </c>
      <c r="B76" s="117" t="s">
        <v>1410</v>
      </c>
      <c r="C76" t="s">
        <v>6</v>
      </c>
      <c r="D76" t="s">
        <v>323</v>
      </c>
      <c r="E76" t="s">
        <v>322</v>
      </c>
      <c r="F76" t="s">
        <v>327</v>
      </c>
      <c r="G76" t="str">
        <f t="shared" si="6"/>
        <v>1055+1056+1063</v>
      </c>
      <c r="H76" t="str">
        <f t="shared" si="7"/>
        <v>`CREDIT (NET)&lt;Q&gt;</v>
      </c>
      <c r="I76" t="s">
        <v>519</v>
      </c>
      <c r="J76" t="str">
        <f t="shared" si="8"/>
        <v>&lt;G1E&gt;`CREDIT (NET)&lt;Q&gt;</v>
      </c>
    </row>
    <row r="77" spans="1:10" x14ac:dyDescent="0.25">
      <c r="A77" s="123">
        <v>1055</v>
      </c>
      <c r="B77" s="124" t="s">
        <v>1411</v>
      </c>
      <c r="C77" t="s">
        <v>16</v>
      </c>
      <c r="D77" t="s">
        <v>318</v>
      </c>
      <c r="F77" t="s">
        <v>326</v>
      </c>
      <c r="G77">
        <f t="shared" si="6"/>
        <v>1055</v>
      </c>
      <c r="H77" t="str">
        <f t="shared" si="7"/>
        <v>`     Credit Line</v>
      </c>
      <c r="I77" t="s">
        <v>520</v>
      </c>
      <c r="J77" t="str">
        <f t="shared" si="8"/>
        <v>&lt;G2B&gt;&lt;G1P&gt;`     Credit Line</v>
      </c>
    </row>
    <row r="78" spans="1:10" x14ac:dyDescent="0.25">
      <c r="A78" s="123">
        <v>1056</v>
      </c>
      <c r="B78" s="124" t="s">
        <v>1412</v>
      </c>
      <c r="C78" t="s">
        <v>16</v>
      </c>
      <c r="D78" t="s">
        <v>318</v>
      </c>
      <c r="F78" t="s">
        <v>326</v>
      </c>
      <c r="G78">
        <f t="shared" si="6"/>
        <v>1056</v>
      </c>
      <c r="H78" t="str">
        <f t="shared" si="7"/>
        <v>`     Credit Loan</v>
      </c>
      <c r="I78" t="s">
        <v>522</v>
      </c>
      <c r="J78" t="str">
        <f t="shared" si="8"/>
        <v>&lt;G1P&gt;`     Credit Loan</v>
      </c>
    </row>
    <row r="79" spans="1:10" x14ac:dyDescent="0.25">
      <c r="A79" s="123">
        <v>1063</v>
      </c>
      <c r="B79" s="124" t="s">
        <v>1413</v>
      </c>
      <c r="C79" t="s">
        <v>16</v>
      </c>
      <c r="D79" t="s">
        <v>318</v>
      </c>
      <c r="F79" t="s">
        <v>326</v>
      </c>
      <c r="G79">
        <f t="shared" si="6"/>
        <v>1063</v>
      </c>
      <c r="H79" t="str">
        <f t="shared" si="7"/>
        <v>`     Can borrow Gcredit from Gcash food allowance</v>
      </c>
      <c r="I79" t="s">
        <v>521</v>
      </c>
      <c r="J79" t="str">
        <f t="shared" si="8"/>
        <v>&lt;G2E&gt;&lt;G1P&gt;`     Can borrow Gcredit from Gcash food allowance</v>
      </c>
    </row>
    <row r="80" spans="1:10" ht="15.75" x14ac:dyDescent="0.25">
      <c r="A80" s="116" t="s">
        <v>1439</v>
      </c>
      <c r="B80" s="117" t="s">
        <v>332</v>
      </c>
      <c r="C80" t="s">
        <v>6</v>
      </c>
      <c r="D80" t="s">
        <v>323</v>
      </c>
      <c r="E80" t="s">
        <v>322</v>
      </c>
      <c r="F80" t="s">
        <v>327</v>
      </c>
      <c r="G80" t="str">
        <f t="shared" si="6"/>
        <v>1021+1023+1047+1019+1034+1053+1062+1066</v>
      </c>
      <c r="H80" t="str">
        <f t="shared" si="7"/>
        <v>`OTHERS (NET)&lt;Q&gt;</v>
      </c>
      <c r="J80" t="str">
        <f t="shared" si="8"/>
        <v>`OTHERS (NET)&lt;Q&gt;</v>
      </c>
    </row>
    <row r="81" spans="1:10" x14ac:dyDescent="0.25">
      <c r="A81" s="121">
        <v>1021</v>
      </c>
      <c r="B81" s="122" t="s">
        <v>1414</v>
      </c>
      <c r="C81" t="s">
        <v>16</v>
      </c>
      <c r="D81" t="s">
        <v>318</v>
      </c>
      <c r="F81" t="s">
        <v>326</v>
      </c>
      <c r="G81">
        <f t="shared" si="6"/>
        <v>1021</v>
      </c>
      <c r="H81" t="str">
        <f t="shared" si="7"/>
        <v>`     Cash Credit has instant limit</v>
      </c>
      <c r="I81" t="s">
        <v>520</v>
      </c>
      <c r="J81" t="str">
        <f t="shared" si="8"/>
        <v>&lt;G2B&gt;&lt;G1P&gt;`     Cash Credit has instant limit</v>
      </c>
    </row>
    <row r="82" spans="1:10" x14ac:dyDescent="0.25">
      <c r="A82" s="121">
        <v>1023</v>
      </c>
      <c r="B82" s="122" t="s">
        <v>1415</v>
      </c>
      <c r="C82" t="s">
        <v>16</v>
      </c>
      <c r="D82" t="s">
        <v>318</v>
      </c>
      <c r="F82" t="s">
        <v>326</v>
      </c>
      <c r="G82">
        <f t="shared" si="6"/>
        <v>1023</v>
      </c>
      <c r="H82" t="str">
        <f t="shared" si="7"/>
        <v>`     I like ads</v>
      </c>
      <c r="I82" t="s">
        <v>522</v>
      </c>
      <c r="J82" t="str">
        <f t="shared" si="8"/>
        <v>&lt;G1P&gt;`     I like ads</v>
      </c>
    </row>
    <row r="83" spans="1:10" x14ac:dyDescent="0.25">
      <c r="A83" s="119">
        <v>1047</v>
      </c>
      <c r="B83" s="120" t="s">
        <v>1416</v>
      </c>
      <c r="C83" t="s">
        <v>16</v>
      </c>
      <c r="D83" t="s">
        <v>318</v>
      </c>
      <c r="F83" t="s">
        <v>326</v>
      </c>
      <c r="G83">
        <f t="shared" si="6"/>
        <v>1047</v>
      </c>
      <c r="H83" t="str">
        <f t="shared" si="7"/>
        <v>`     Additional for budget</v>
      </c>
      <c r="I83" t="s">
        <v>522</v>
      </c>
      <c r="J83" t="str">
        <f t="shared" si="8"/>
        <v>&lt;G1P&gt;`     Additional for budget</v>
      </c>
    </row>
    <row r="84" spans="1:10" x14ac:dyDescent="0.25">
      <c r="A84" s="131">
        <v>1019</v>
      </c>
      <c r="B84" s="132" t="s">
        <v>1417</v>
      </c>
      <c r="C84" t="s">
        <v>16</v>
      </c>
      <c r="D84" t="s">
        <v>318</v>
      </c>
      <c r="F84" t="s">
        <v>326</v>
      </c>
      <c r="G84">
        <f t="shared" si="6"/>
        <v>1019</v>
      </c>
      <c r="H84" t="str">
        <f t="shared" si="7"/>
        <v>`     Can buy even if you don’t have money</v>
      </c>
      <c r="I84" t="s">
        <v>522</v>
      </c>
      <c r="J84" t="str">
        <f t="shared" si="8"/>
        <v>&lt;G1P&gt;`     Can buy even if you don’t have money</v>
      </c>
    </row>
    <row r="85" spans="1:10" x14ac:dyDescent="0.25">
      <c r="A85" s="121">
        <v>1034</v>
      </c>
      <c r="B85" s="122" t="s">
        <v>1418</v>
      </c>
      <c r="C85" t="s">
        <v>16</v>
      </c>
      <c r="D85" t="s">
        <v>318</v>
      </c>
      <c r="F85" t="s">
        <v>326</v>
      </c>
      <c r="G85">
        <f t="shared" si="6"/>
        <v>1034</v>
      </c>
      <c r="H85" t="str">
        <f t="shared" si="7"/>
        <v>`     All money problems can be solved with GCash</v>
      </c>
      <c r="I85" t="s">
        <v>522</v>
      </c>
      <c r="J85" t="str">
        <f t="shared" si="8"/>
        <v>&lt;G1P&gt;`     All money problems can be solved with GCash</v>
      </c>
    </row>
    <row r="86" spans="1:10" x14ac:dyDescent="0.25">
      <c r="A86" s="123">
        <v>1053</v>
      </c>
      <c r="B86" s="124" t="s">
        <v>1419</v>
      </c>
      <c r="C86" t="s">
        <v>16</v>
      </c>
      <c r="D86" t="s">
        <v>318</v>
      </c>
      <c r="F86" t="s">
        <v>326</v>
      </c>
      <c r="G86">
        <f t="shared" si="6"/>
        <v>1053</v>
      </c>
      <c r="H86" t="str">
        <f t="shared" si="7"/>
        <v>`     Borrow from Gcash to start a business</v>
      </c>
      <c r="I86" t="s">
        <v>522</v>
      </c>
      <c r="J86" t="str">
        <f t="shared" si="8"/>
        <v>&lt;G1P&gt;`     Borrow from Gcash to start a business</v>
      </c>
    </row>
    <row r="87" spans="1:10" x14ac:dyDescent="0.25">
      <c r="A87" s="123">
        <v>1062</v>
      </c>
      <c r="B87" s="124" t="s">
        <v>1420</v>
      </c>
      <c r="C87" t="s">
        <v>16</v>
      </c>
      <c r="D87" t="s">
        <v>318</v>
      </c>
      <c r="F87" t="s">
        <v>326</v>
      </c>
      <c r="G87">
        <f t="shared" si="6"/>
        <v>1062</v>
      </c>
      <c r="H87" t="str">
        <f t="shared" si="7"/>
        <v>`     Grocery loan</v>
      </c>
      <c r="I87" t="s">
        <v>522</v>
      </c>
      <c r="J87" t="str">
        <f t="shared" si="8"/>
        <v>&lt;G1P&gt;`     Grocery loan</v>
      </c>
    </row>
    <row r="88" spans="1:10" x14ac:dyDescent="0.25">
      <c r="A88" s="123">
        <v>1066</v>
      </c>
      <c r="B88" s="124" t="s">
        <v>1421</v>
      </c>
      <c r="C88" t="s">
        <v>16</v>
      </c>
      <c r="D88" t="s">
        <v>318</v>
      </c>
      <c r="F88" t="s">
        <v>326</v>
      </c>
      <c r="G88">
        <f t="shared" si="6"/>
        <v>1066</v>
      </c>
      <c r="H88" t="str">
        <f t="shared" si="7"/>
        <v>`     Can loan without hassle</v>
      </c>
      <c r="I88" t="s">
        <v>521</v>
      </c>
      <c r="J88" t="str">
        <f t="shared" si="8"/>
        <v>&lt;G2E&gt;&lt;G1P&gt;`     Can loan without hassle</v>
      </c>
    </row>
    <row r="89" spans="1:10" ht="15.75" x14ac:dyDescent="0.25">
      <c r="A89" s="116" t="s">
        <v>1440</v>
      </c>
      <c r="B89" s="103" t="s">
        <v>331</v>
      </c>
      <c r="C89" t="s">
        <v>6</v>
      </c>
      <c r="D89" t="s">
        <v>323</v>
      </c>
      <c r="E89" t="s">
        <v>322</v>
      </c>
      <c r="F89" t="s">
        <v>327</v>
      </c>
      <c r="G89" t="str">
        <f t="shared" si="6"/>
        <v>1039+1043+1052+1060+1061+1067</v>
      </c>
      <c r="H89" t="str">
        <f t="shared" si="7"/>
        <v>`VAGUE (NET)&lt;Q&gt;</v>
      </c>
      <c r="J89" t="str">
        <f t="shared" si="8"/>
        <v>`VAGUE (NET)&lt;Q&gt;</v>
      </c>
    </row>
    <row r="90" spans="1:10" x14ac:dyDescent="0.25">
      <c r="A90" s="121">
        <v>1039</v>
      </c>
      <c r="B90" s="122" t="s">
        <v>787</v>
      </c>
      <c r="C90" t="s">
        <v>16</v>
      </c>
      <c r="D90" t="s">
        <v>318</v>
      </c>
      <c r="F90" t="s">
        <v>326</v>
      </c>
      <c r="G90">
        <f t="shared" si="6"/>
        <v>1039</v>
      </c>
      <c r="H90" t="str">
        <f t="shared" si="7"/>
        <v>`     Nice</v>
      </c>
      <c r="I90" t="s">
        <v>520</v>
      </c>
      <c r="J90" t="str">
        <f t="shared" si="8"/>
        <v>&lt;G2B&gt;&lt;G1P&gt;`     Nice</v>
      </c>
    </row>
    <row r="91" spans="1:10" x14ac:dyDescent="0.25">
      <c r="A91" s="121">
        <v>1043</v>
      </c>
      <c r="B91" s="122" t="s">
        <v>784</v>
      </c>
      <c r="C91" t="s">
        <v>16</v>
      </c>
      <c r="D91" t="s">
        <v>318</v>
      </c>
      <c r="F91" t="s">
        <v>326</v>
      </c>
      <c r="G91">
        <f t="shared" si="6"/>
        <v>1043</v>
      </c>
      <c r="H91" t="str">
        <f t="shared" si="7"/>
        <v>`     It's okay</v>
      </c>
      <c r="I91" t="s">
        <v>522</v>
      </c>
      <c r="J91" t="str">
        <f t="shared" si="8"/>
        <v>&lt;G1P&gt;`     It's okay</v>
      </c>
    </row>
    <row r="92" spans="1:10" x14ac:dyDescent="0.25">
      <c r="A92" s="123">
        <v>1052</v>
      </c>
      <c r="B92" s="124" t="s">
        <v>1422</v>
      </c>
      <c r="C92" t="s">
        <v>16</v>
      </c>
      <c r="D92" t="s">
        <v>318</v>
      </c>
      <c r="F92" t="s">
        <v>326</v>
      </c>
      <c r="G92">
        <f t="shared" si="6"/>
        <v>1052</v>
      </c>
      <c r="H92" t="str">
        <f t="shared" si="7"/>
        <v>`     Give Idea</v>
      </c>
      <c r="I92" t="s">
        <v>522</v>
      </c>
      <c r="J92" t="str">
        <f t="shared" si="8"/>
        <v>&lt;G1P&gt;`     Give Idea</v>
      </c>
    </row>
    <row r="93" spans="1:10" x14ac:dyDescent="0.25">
      <c r="A93" s="123">
        <v>1060</v>
      </c>
      <c r="B93" s="124" t="s">
        <v>1048</v>
      </c>
      <c r="C93" t="s">
        <v>16</v>
      </c>
      <c r="D93" t="s">
        <v>318</v>
      </c>
      <c r="F93" t="s">
        <v>326</v>
      </c>
      <c r="G93">
        <f t="shared" si="6"/>
        <v>1060</v>
      </c>
      <c r="H93" t="str">
        <f t="shared" si="7"/>
        <v>`     Good</v>
      </c>
      <c r="I93" t="s">
        <v>522</v>
      </c>
      <c r="J93" t="str">
        <f t="shared" si="8"/>
        <v>&lt;G1P&gt;`     Good</v>
      </c>
    </row>
    <row r="94" spans="1:10" x14ac:dyDescent="0.25">
      <c r="A94" s="123">
        <v>1061</v>
      </c>
      <c r="B94" s="124" t="s">
        <v>1423</v>
      </c>
      <c r="C94" t="s">
        <v>16</v>
      </c>
      <c r="D94" t="s">
        <v>318</v>
      </c>
      <c r="F94" t="s">
        <v>326</v>
      </c>
      <c r="G94">
        <f t="shared" si="6"/>
        <v>1061</v>
      </c>
      <c r="H94" t="str">
        <f t="shared" si="7"/>
        <v>`     Great</v>
      </c>
      <c r="I94" t="s">
        <v>522</v>
      </c>
      <c r="J94" t="str">
        <f t="shared" si="8"/>
        <v>&lt;G1P&gt;`     Great</v>
      </c>
    </row>
    <row r="95" spans="1:10" x14ac:dyDescent="0.25">
      <c r="A95" s="123">
        <v>1067</v>
      </c>
      <c r="B95" s="124" t="s">
        <v>1424</v>
      </c>
      <c r="C95" t="s">
        <v>16</v>
      </c>
      <c r="D95" t="s">
        <v>318</v>
      </c>
      <c r="F95" t="s">
        <v>326</v>
      </c>
      <c r="G95">
        <f t="shared" si="6"/>
        <v>1067</v>
      </c>
      <c r="H95" t="str">
        <f t="shared" si="7"/>
        <v>`     Lack of information</v>
      </c>
      <c r="I95" t="s">
        <v>521</v>
      </c>
      <c r="J95" t="str">
        <f t="shared" si="8"/>
        <v>&lt;G2E&gt;&lt;G1P&gt;`     Lack of information</v>
      </c>
    </row>
    <row r="96" spans="1:10" x14ac:dyDescent="0.25">
      <c r="A96" s="121">
        <v>9996</v>
      </c>
      <c r="B96" s="128" t="s">
        <v>302</v>
      </c>
      <c r="G96">
        <f t="shared" si="6"/>
        <v>9996</v>
      </c>
      <c r="H96" t="str">
        <f t="shared" si="7"/>
        <v>Can't say</v>
      </c>
      <c r="J96" t="str">
        <f t="shared" si="8"/>
        <v>Can't say</v>
      </c>
    </row>
    <row r="97" spans="1:10" x14ac:dyDescent="0.25">
      <c r="A97" s="121">
        <v>9997</v>
      </c>
      <c r="B97" s="128" t="s">
        <v>796</v>
      </c>
      <c r="G97">
        <f t="shared" si="6"/>
        <v>9997</v>
      </c>
      <c r="H97" t="str">
        <f t="shared" si="7"/>
        <v>No comment</v>
      </c>
      <c r="J97" t="str">
        <f t="shared" si="8"/>
        <v>No comment</v>
      </c>
    </row>
    <row r="98" spans="1:10" x14ac:dyDescent="0.25">
      <c r="A98" s="121">
        <v>9998</v>
      </c>
      <c r="B98" s="122" t="s">
        <v>336</v>
      </c>
      <c r="G98">
        <f t="shared" si="6"/>
        <v>9998</v>
      </c>
      <c r="H98" t="str">
        <f t="shared" si="7"/>
        <v>Don't know</v>
      </c>
      <c r="J98" t="str">
        <f t="shared" ref="J98:J99" si="9">_xlfn.CONCAT(I98,H98)</f>
        <v>Don't know</v>
      </c>
    </row>
    <row r="99" spans="1:10" x14ac:dyDescent="0.25">
      <c r="A99" s="121">
        <v>9999</v>
      </c>
      <c r="B99" s="122" t="s">
        <v>303</v>
      </c>
      <c r="G99">
        <f t="shared" si="6"/>
        <v>9999</v>
      </c>
      <c r="H99" t="str">
        <f t="shared" si="7"/>
        <v>None</v>
      </c>
      <c r="J99" t="str">
        <f t="shared" si="9"/>
        <v>None</v>
      </c>
    </row>
    <row r="100" spans="1:10" x14ac:dyDescent="0.25">
      <c r="A100" s="133"/>
      <c r="B100" s="134"/>
    </row>
    <row r="101" spans="1:10" x14ac:dyDescent="0.25">
      <c r="A101" s="133"/>
      <c r="B101" s="134"/>
    </row>
    <row r="102" spans="1:10" x14ac:dyDescent="0.25">
      <c r="A102" s="133"/>
      <c r="B102" s="134"/>
    </row>
    <row r="103" spans="1:10" x14ac:dyDescent="0.25">
      <c r="A103" s="116"/>
      <c r="B103" s="118"/>
    </row>
    <row r="104" spans="1:10" x14ac:dyDescent="0.25">
      <c r="A104" s="116"/>
      <c r="B104" s="118"/>
    </row>
    <row r="105" spans="1:10" x14ac:dyDescent="0.25">
      <c r="A105" s="116"/>
      <c r="B105" s="118"/>
    </row>
    <row r="106" spans="1:10" x14ac:dyDescent="0.25">
      <c r="A106" s="116"/>
      <c r="B106" s="118"/>
    </row>
    <row r="107" spans="1:10" x14ac:dyDescent="0.25">
      <c r="A107" s="116"/>
      <c r="B107" s="118"/>
    </row>
    <row r="108" spans="1:10" x14ac:dyDescent="0.25">
      <c r="A108" s="116"/>
      <c r="B108" s="118"/>
    </row>
    <row r="109" spans="1:10" x14ac:dyDescent="0.25">
      <c r="A109" s="116"/>
      <c r="B109" s="118"/>
    </row>
    <row r="110" spans="1:10" x14ac:dyDescent="0.25">
      <c r="A110" s="116"/>
      <c r="B110" s="118"/>
    </row>
    <row r="111" spans="1:10" x14ac:dyDescent="0.25">
      <c r="A111" s="116"/>
      <c r="B111" s="118"/>
    </row>
    <row r="112" spans="1:10" x14ac:dyDescent="0.25">
      <c r="A112" s="116"/>
      <c r="B112" s="118"/>
    </row>
    <row r="113" spans="1:2" x14ac:dyDescent="0.25">
      <c r="A113" s="116"/>
      <c r="B113" s="118"/>
    </row>
    <row r="114" spans="1:2" x14ac:dyDescent="0.25">
      <c r="A114" s="116"/>
      <c r="B114" s="118"/>
    </row>
    <row r="115" spans="1:2" x14ac:dyDescent="0.25">
      <c r="A115" s="116"/>
      <c r="B115" s="118"/>
    </row>
    <row r="116" spans="1:2" x14ac:dyDescent="0.25">
      <c r="A116" s="116"/>
      <c r="B116" s="118"/>
    </row>
    <row r="117" spans="1:2" x14ac:dyDescent="0.25">
      <c r="A117" s="116"/>
      <c r="B117" s="118"/>
    </row>
    <row r="118" spans="1:2" x14ac:dyDescent="0.25">
      <c r="A118" s="116"/>
      <c r="B118" s="118"/>
    </row>
    <row r="119" spans="1:2" x14ac:dyDescent="0.25">
      <c r="A119" s="116"/>
      <c r="B119" s="118"/>
    </row>
    <row r="120" spans="1:2" x14ac:dyDescent="0.25">
      <c r="A120" s="116"/>
      <c r="B120" s="118"/>
    </row>
    <row r="121" spans="1:2" x14ac:dyDescent="0.25">
      <c r="A121" s="116"/>
      <c r="B121" s="118"/>
    </row>
    <row r="122" spans="1:2" x14ac:dyDescent="0.25">
      <c r="A122" s="116"/>
      <c r="B122" s="118"/>
    </row>
  </sheetData>
  <autoFilter ref="A1:C122" xr:uid="{51E06A4D-461D-42B0-BFB8-66BDBFBE9AEE}"/>
  <conditionalFormatting sqref="A75">
    <cfRule type="duplicateValues" dxfId="67" priority="11"/>
  </conditionalFormatting>
  <conditionalFormatting sqref="A86:A88 A77:A78">
    <cfRule type="duplicateValues" dxfId="66" priority="13"/>
  </conditionalFormatting>
  <conditionalFormatting sqref="A85 A57:A58 A60:A62 A64 A66 A68 A70 A74 A72 A6:A7 A40 A20:A21 A10 A80:A83 A24 A46:A47">
    <cfRule type="duplicateValues" dxfId="65" priority="61"/>
  </conditionalFormatting>
  <conditionalFormatting sqref="A89">
    <cfRule type="duplicateValues" dxfId="64" priority="44"/>
    <cfRule type="duplicateValues" dxfId="63" priority="45"/>
    <cfRule type="duplicateValues" dxfId="62" priority="46"/>
    <cfRule type="duplicateValues" dxfId="61" priority="47"/>
    <cfRule type="duplicateValues" dxfId="60" priority="48"/>
    <cfRule type="duplicateValues" dxfId="59" priority="49"/>
  </conditionalFormatting>
  <conditionalFormatting sqref="A96">
    <cfRule type="duplicateValues" dxfId="58" priority="50"/>
    <cfRule type="duplicateValues" dxfId="57" priority="51"/>
    <cfRule type="duplicateValues" dxfId="56" priority="54"/>
    <cfRule type="duplicateValues" dxfId="55" priority="55"/>
    <cfRule type="duplicateValues" dxfId="54" priority="56"/>
    <cfRule type="duplicateValues" dxfId="53" priority="57"/>
  </conditionalFormatting>
  <conditionalFormatting sqref="A97">
    <cfRule type="duplicateValues" dxfId="52" priority="28"/>
    <cfRule type="duplicateValues" dxfId="51" priority="31"/>
    <cfRule type="duplicateValues" dxfId="50" priority="32"/>
    <cfRule type="duplicateValues" dxfId="49" priority="33"/>
    <cfRule type="duplicateValues" dxfId="48" priority="34"/>
  </conditionalFormatting>
  <conditionalFormatting sqref="A98">
    <cfRule type="duplicateValues" dxfId="47" priority="35"/>
    <cfRule type="duplicateValues" dxfId="46" priority="36"/>
    <cfRule type="duplicateValues" dxfId="45" priority="39"/>
    <cfRule type="duplicateValues" dxfId="44" priority="40"/>
    <cfRule type="duplicateValues" dxfId="43" priority="41"/>
    <cfRule type="duplicateValues" dxfId="42" priority="42"/>
  </conditionalFormatting>
  <conditionalFormatting sqref="A99">
    <cfRule type="duplicateValues" dxfId="41" priority="17"/>
    <cfRule type="duplicateValues" dxfId="40" priority="20"/>
    <cfRule type="duplicateValues" dxfId="39" priority="21"/>
    <cfRule type="duplicateValues" dxfId="38" priority="22"/>
    <cfRule type="duplicateValues" dxfId="37" priority="23"/>
    <cfRule type="duplicateValues" dxfId="36" priority="24"/>
    <cfRule type="duplicateValues" dxfId="35" priority="25"/>
  </conditionalFormatting>
  <conditionalFormatting sqref="A103:A122 A1:A5 A8:A9 A22:A23 A41:A45 A59 A63 A65 A67 A69 A71 A73 A25:A39 A76 A79 A90:A95 A48:A56 A11:A19">
    <cfRule type="duplicateValues" dxfId="34" priority="60"/>
  </conditionalFormatting>
  <conditionalFormatting sqref="A103:A122 A90:A95 A85:A88 A1:A83">
    <cfRule type="duplicateValues" dxfId="33" priority="63"/>
    <cfRule type="duplicateValues" dxfId="32" priority="64"/>
    <cfRule type="duplicateValues" dxfId="31" priority="65"/>
    <cfRule type="duplicateValues" dxfId="30" priority="66"/>
    <cfRule type="duplicateValues" dxfId="29" priority="67"/>
  </conditionalFormatting>
  <conditionalFormatting sqref="B50:B51">
    <cfRule type="duplicateValues" dxfId="28" priority="1"/>
    <cfRule type="duplicateValues" dxfId="27" priority="2"/>
    <cfRule type="duplicateValues" dxfId="26" priority="3"/>
    <cfRule type="duplicateValues" dxfId="25" priority="4"/>
    <cfRule type="duplicateValues" dxfId="24" priority="5"/>
    <cfRule type="duplicateValues" dxfId="23" priority="6"/>
    <cfRule type="duplicateValues" dxfId="22" priority="7"/>
    <cfRule type="duplicateValues" dxfId="21" priority="8"/>
    <cfRule type="duplicateValues" dxfId="20" priority="9"/>
    <cfRule type="duplicateValues" dxfId="19" priority="10"/>
  </conditionalFormatting>
  <conditionalFormatting sqref="B89">
    <cfRule type="duplicateValues" dxfId="18" priority="43"/>
  </conditionalFormatting>
  <conditionalFormatting sqref="B96">
    <cfRule type="duplicateValues" dxfId="17" priority="52"/>
    <cfRule type="duplicateValues" dxfId="16" priority="53"/>
  </conditionalFormatting>
  <conditionalFormatting sqref="B97">
    <cfRule type="duplicateValues" dxfId="15" priority="29"/>
    <cfRule type="duplicateValues" dxfId="14" priority="30"/>
  </conditionalFormatting>
  <conditionalFormatting sqref="B98">
    <cfRule type="duplicateValues" dxfId="13" priority="37"/>
    <cfRule type="duplicateValues" dxfId="12" priority="38"/>
  </conditionalFormatting>
  <conditionalFormatting sqref="B99">
    <cfRule type="duplicateValues" dxfId="11" priority="18"/>
    <cfRule type="duplicateValues" dxfId="10" priority="19"/>
    <cfRule type="duplicateValues" dxfId="9" priority="26"/>
    <cfRule type="duplicateValues" dxfId="8" priority="27"/>
  </conditionalFormatting>
  <conditionalFormatting sqref="B103:B122 B90:B95 B85:B88 B1:B49 B52:B83">
    <cfRule type="duplicateValues" dxfId="7" priority="69"/>
    <cfRule type="duplicateValues" dxfId="6" priority="70"/>
  </conditionalFormatting>
  <conditionalFormatting sqref="A100:A122 A1:A98">
    <cfRule type="duplicateValues" dxfId="5" priority="737"/>
  </conditionalFormatting>
  <conditionalFormatting sqref="B100:B122 B1:B49 B52:B98">
    <cfRule type="duplicateValues" dxfId="4" priority="781"/>
  </conditionalFormatting>
  <conditionalFormatting sqref="B52:B122 B1:B49">
    <cfRule type="duplicateValues" dxfId="3" priority="1835"/>
  </conditionalFormatting>
  <conditionalFormatting sqref="A1:A122">
    <cfRule type="duplicateValues" dxfId="2" priority="2838"/>
    <cfRule type="duplicateValues" dxfId="1" priority="2839"/>
    <cfRule type="duplicateValues" dxfId="0" priority="2840"/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AC6EF-03DA-48BB-BB13-861F43F7BDC0}">
  <dimension ref="A1:J67"/>
  <sheetViews>
    <sheetView workbookViewId="0">
      <selection activeCell="G35" sqref="G35"/>
    </sheetView>
  </sheetViews>
  <sheetFormatPr defaultRowHeight="15" x14ac:dyDescent="0.25"/>
  <cols>
    <col min="2" max="2" width="31.140625" customWidth="1"/>
  </cols>
  <sheetData>
    <row r="1" spans="1:10" x14ac:dyDescent="0.25">
      <c r="A1" s="115" t="s">
        <v>533</v>
      </c>
      <c r="B1" s="115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x14ac:dyDescent="0.25">
      <c r="A2" s="133" t="s">
        <v>1471</v>
      </c>
      <c r="B2" s="136" t="s">
        <v>1441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38" si="0">IF(A2="","",A2)</f>
        <v>1001+1002+1003</v>
      </c>
      <c r="H2" t="str">
        <f t="shared" ref="H2:H38" si="1">_xlfn.CONCAT(D2,SUBSTITUTE(B2,"""","`"""),E2)</f>
        <v>`CAN GET A LOAN VIA GLOAN NET&lt;Q&gt;</v>
      </c>
      <c r="I2" t="s">
        <v>518</v>
      </c>
      <c r="J2" t="str">
        <f t="shared" ref="J2:J38" si="2">_xlfn.CONCAT(I2,H2)</f>
        <v>&lt;G1B&gt;`CAN GET A LOAN VIA GLOAN NET&lt;Q&gt;</v>
      </c>
    </row>
    <row r="3" spans="1:10" x14ac:dyDescent="0.25">
      <c r="A3" s="133">
        <v>1001</v>
      </c>
      <c r="B3" s="134" t="s">
        <v>1442</v>
      </c>
      <c r="C3" t="s">
        <v>16</v>
      </c>
      <c r="D3" t="s">
        <v>318</v>
      </c>
      <c r="F3" t="s">
        <v>326</v>
      </c>
      <c r="G3">
        <f t="shared" si="0"/>
        <v>1001</v>
      </c>
      <c r="H3" t="str">
        <f t="shared" si="1"/>
        <v>`     Can get a loan via GLOAN</v>
      </c>
      <c r="I3" t="s">
        <v>520</v>
      </c>
      <c r="J3" t="str">
        <f t="shared" si="2"/>
        <v>&lt;G2B&gt;&lt;G1P&gt;`     Can get a loan via GLOAN</v>
      </c>
    </row>
    <row r="4" spans="1:10" x14ac:dyDescent="0.25">
      <c r="A4" s="133">
        <v>1002</v>
      </c>
      <c r="B4" s="134" t="s">
        <v>977</v>
      </c>
      <c r="C4" t="s">
        <v>16</v>
      </c>
      <c r="D4" t="s">
        <v>318</v>
      </c>
      <c r="F4" t="s">
        <v>326</v>
      </c>
      <c r="G4">
        <f t="shared" si="0"/>
        <v>1002</v>
      </c>
      <c r="H4" t="str">
        <f t="shared" si="1"/>
        <v>`     GLoan</v>
      </c>
      <c r="I4" t="s">
        <v>522</v>
      </c>
      <c r="J4" t="str">
        <f t="shared" si="2"/>
        <v>&lt;G1P&gt;`     GLoan</v>
      </c>
    </row>
    <row r="5" spans="1:10" x14ac:dyDescent="0.25">
      <c r="A5" s="133">
        <v>1003</v>
      </c>
      <c r="B5" s="134" t="s">
        <v>1443</v>
      </c>
      <c r="C5" t="s">
        <v>16</v>
      </c>
      <c r="D5" t="s">
        <v>318</v>
      </c>
      <c r="F5" t="s">
        <v>326</v>
      </c>
      <c r="G5">
        <f t="shared" si="0"/>
        <v>1003</v>
      </c>
      <c r="H5" t="str">
        <f t="shared" si="1"/>
        <v>`     Encourage people to use GLoan</v>
      </c>
      <c r="I5" t="s">
        <v>521</v>
      </c>
      <c r="J5" t="str">
        <f t="shared" si="2"/>
        <v>&lt;G2E&gt;&lt;G1P&gt;`     Encourage people to use GLoan</v>
      </c>
    </row>
    <row r="6" spans="1:10" x14ac:dyDescent="0.25">
      <c r="A6" s="133">
        <v>1004</v>
      </c>
      <c r="B6" s="136" t="s">
        <v>1444</v>
      </c>
      <c r="C6" t="s">
        <v>6</v>
      </c>
      <c r="D6" t="s">
        <v>323</v>
      </c>
      <c r="E6" t="s">
        <v>322</v>
      </c>
      <c r="F6" t="s">
        <v>327</v>
      </c>
      <c r="G6">
        <f t="shared" si="0"/>
        <v>1004</v>
      </c>
      <c r="H6" t="str">
        <f t="shared" si="1"/>
        <v>`CAN GET A LOAN  VIA GCREDIT NET&lt;Q&gt;</v>
      </c>
      <c r="J6" t="str">
        <f t="shared" si="2"/>
        <v>`CAN GET A LOAN  VIA GCREDIT NET&lt;Q&gt;</v>
      </c>
    </row>
    <row r="7" spans="1:10" x14ac:dyDescent="0.25">
      <c r="A7" s="133">
        <v>1004</v>
      </c>
      <c r="B7" s="134" t="s">
        <v>1445</v>
      </c>
      <c r="C7" t="s">
        <v>16</v>
      </c>
      <c r="D7" t="s">
        <v>318</v>
      </c>
      <c r="F7" t="s">
        <v>326</v>
      </c>
      <c r="G7">
        <f t="shared" si="0"/>
        <v>1004</v>
      </c>
      <c r="H7" t="str">
        <f t="shared" si="1"/>
        <v>`     Can get a loan via GCREDIT</v>
      </c>
      <c r="I7" t="s">
        <v>522</v>
      </c>
      <c r="J7" t="str">
        <f t="shared" si="2"/>
        <v>&lt;G1P&gt;`     Can get a loan via GCREDIT</v>
      </c>
    </row>
    <row r="8" spans="1:10" x14ac:dyDescent="0.25">
      <c r="A8" s="133" t="s">
        <v>1472</v>
      </c>
      <c r="B8" s="136" t="s">
        <v>1446</v>
      </c>
      <c r="C8" t="s">
        <v>6</v>
      </c>
      <c r="D8" t="s">
        <v>323</v>
      </c>
      <c r="E8" t="s">
        <v>322</v>
      </c>
      <c r="F8" t="s">
        <v>327</v>
      </c>
      <c r="G8" t="str">
        <f t="shared" si="0"/>
        <v>1005+1006</v>
      </c>
      <c r="H8" t="str">
        <f t="shared" si="1"/>
        <v>`CAN GET A LOAN VIA GCASH NET&lt;Q&gt;</v>
      </c>
      <c r="J8" t="str">
        <f t="shared" si="2"/>
        <v>`CAN GET A LOAN VIA GCASH NET&lt;Q&gt;</v>
      </c>
    </row>
    <row r="9" spans="1:10" x14ac:dyDescent="0.25">
      <c r="A9" s="133">
        <v>1005</v>
      </c>
      <c r="B9" s="134" t="s">
        <v>1447</v>
      </c>
      <c r="C9" t="s">
        <v>16</v>
      </c>
      <c r="D9" t="s">
        <v>318</v>
      </c>
      <c r="F9" t="s">
        <v>326</v>
      </c>
      <c r="G9">
        <f t="shared" si="0"/>
        <v>1005</v>
      </c>
      <c r="H9" t="str">
        <f t="shared" si="1"/>
        <v>`     Can get a loan via  GCash</v>
      </c>
      <c r="I9" t="s">
        <v>520</v>
      </c>
      <c r="J9" t="str">
        <f t="shared" si="2"/>
        <v>&lt;G2B&gt;&lt;G1P&gt;`     Can get a loan via  GCash</v>
      </c>
    </row>
    <row r="10" spans="1:10" x14ac:dyDescent="0.25">
      <c r="A10" s="133">
        <v>1006</v>
      </c>
      <c r="B10" s="134" t="s">
        <v>1448</v>
      </c>
      <c r="C10" t="s">
        <v>16</v>
      </c>
      <c r="D10" t="s">
        <v>318</v>
      </c>
      <c r="F10" t="s">
        <v>326</v>
      </c>
      <c r="G10">
        <f t="shared" si="0"/>
        <v>1006</v>
      </c>
      <c r="H10" t="str">
        <f t="shared" si="1"/>
        <v>`     Can get a loan via  GCash in times of emergency</v>
      </c>
      <c r="I10" t="s">
        <v>521</v>
      </c>
      <c r="J10" t="str">
        <f t="shared" si="2"/>
        <v>&lt;G2E&gt;&lt;G1P&gt;`     Can get a loan via  GCash in times of emergency</v>
      </c>
    </row>
    <row r="11" spans="1:10" x14ac:dyDescent="0.25">
      <c r="A11" s="133" t="s">
        <v>1473</v>
      </c>
      <c r="B11" s="136" t="s">
        <v>1449</v>
      </c>
      <c r="C11" t="s">
        <v>6</v>
      </c>
      <c r="D11" t="s">
        <v>323</v>
      </c>
      <c r="E11" t="s">
        <v>322</v>
      </c>
      <c r="F11" t="s">
        <v>327</v>
      </c>
      <c r="G11" t="str">
        <f t="shared" si="0"/>
        <v>1007+1008</v>
      </c>
      <c r="H11" t="str">
        <f t="shared" si="1"/>
        <v>`EASY TO GET A LOAN  FROM GCASH NET&lt;Q&gt;</v>
      </c>
      <c r="J11" t="str">
        <f t="shared" si="2"/>
        <v>`EASY TO GET A LOAN  FROM GCASH NET&lt;Q&gt;</v>
      </c>
    </row>
    <row r="12" spans="1:10" x14ac:dyDescent="0.25">
      <c r="A12" s="133">
        <v>1007</v>
      </c>
      <c r="B12" s="134" t="s">
        <v>1450</v>
      </c>
      <c r="C12" t="s">
        <v>16</v>
      </c>
      <c r="D12" t="s">
        <v>318</v>
      </c>
      <c r="F12" t="s">
        <v>326</v>
      </c>
      <c r="G12">
        <f t="shared" si="0"/>
        <v>1007</v>
      </c>
      <c r="H12" t="str">
        <f t="shared" si="1"/>
        <v>`     Easy to get a loan via GCash</v>
      </c>
      <c r="I12" t="s">
        <v>520</v>
      </c>
      <c r="J12" t="str">
        <f t="shared" si="2"/>
        <v>&lt;G2B&gt;&lt;G1P&gt;`     Easy to get a loan via GCash</v>
      </c>
    </row>
    <row r="13" spans="1:10" x14ac:dyDescent="0.25">
      <c r="A13" s="133">
        <v>1008</v>
      </c>
      <c r="B13" s="134" t="s">
        <v>1451</v>
      </c>
      <c r="C13" t="s">
        <v>16</v>
      </c>
      <c r="D13" t="s">
        <v>318</v>
      </c>
      <c r="F13" t="s">
        <v>326</v>
      </c>
      <c r="G13">
        <f t="shared" si="0"/>
        <v>1008</v>
      </c>
      <c r="H13" t="str">
        <f t="shared" si="1"/>
        <v>`     Easy to get a loan via GLoan</v>
      </c>
      <c r="I13" t="s">
        <v>521</v>
      </c>
      <c r="J13" t="str">
        <f t="shared" si="2"/>
        <v>&lt;G2E&gt;&lt;G1P&gt;`     Easy to get a loan via GLoan</v>
      </c>
    </row>
    <row r="14" spans="1:10" x14ac:dyDescent="0.25">
      <c r="A14" s="133">
        <v>1009</v>
      </c>
      <c r="B14" s="136" t="s">
        <v>1452</v>
      </c>
      <c r="C14" t="s">
        <v>6</v>
      </c>
      <c r="D14" t="s">
        <v>323</v>
      </c>
      <c r="E14" t="s">
        <v>322</v>
      </c>
      <c r="F14" t="s">
        <v>327</v>
      </c>
      <c r="G14">
        <f t="shared" si="0"/>
        <v>1009</v>
      </c>
      <c r="H14" t="str">
        <f t="shared" si="1"/>
        <v>`SAFETY AND SECURITY NET&lt;Q&gt;</v>
      </c>
      <c r="J14" t="str">
        <f t="shared" si="2"/>
        <v>`SAFETY AND SECURITY NET&lt;Q&gt;</v>
      </c>
    </row>
    <row r="15" spans="1:10" x14ac:dyDescent="0.25">
      <c r="A15" s="133">
        <v>1009</v>
      </c>
      <c r="B15" s="134" t="s">
        <v>1453</v>
      </c>
      <c r="C15" t="s">
        <v>16</v>
      </c>
      <c r="D15" t="s">
        <v>318</v>
      </c>
      <c r="F15" t="s">
        <v>326</v>
      </c>
      <c r="G15">
        <f t="shared" si="0"/>
        <v>1009</v>
      </c>
      <c r="H15" t="str">
        <f t="shared" si="1"/>
        <v>`     GCash is safe to use</v>
      </c>
      <c r="I15" t="s">
        <v>522</v>
      </c>
      <c r="J15" t="str">
        <f t="shared" si="2"/>
        <v>&lt;G1P&gt;`     GCash is safe to use</v>
      </c>
    </row>
    <row r="16" spans="1:10" x14ac:dyDescent="0.25">
      <c r="A16" s="133">
        <v>1010</v>
      </c>
      <c r="B16" s="136" t="s">
        <v>1454</v>
      </c>
      <c r="C16" t="s">
        <v>6</v>
      </c>
      <c r="D16" t="s">
        <v>323</v>
      </c>
      <c r="E16" t="s">
        <v>322</v>
      </c>
      <c r="F16" t="s">
        <v>327</v>
      </c>
      <c r="G16">
        <f t="shared" si="0"/>
        <v>1010</v>
      </c>
      <c r="H16" t="str">
        <f t="shared" si="1"/>
        <v>`EASE OF USE NET&lt;Q&gt;</v>
      </c>
      <c r="J16" t="str">
        <f t="shared" si="2"/>
        <v>`EASE OF USE NET&lt;Q&gt;</v>
      </c>
    </row>
    <row r="17" spans="1:10" x14ac:dyDescent="0.25">
      <c r="A17" s="133">
        <v>1010</v>
      </c>
      <c r="B17" s="134" t="s">
        <v>1455</v>
      </c>
      <c r="C17" t="s">
        <v>16</v>
      </c>
      <c r="D17" t="s">
        <v>318</v>
      </c>
      <c r="F17" t="s">
        <v>326</v>
      </c>
      <c r="G17">
        <f t="shared" si="0"/>
        <v>1010</v>
      </c>
      <c r="H17" t="str">
        <f t="shared" si="1"/>
        <v>`     GCash is easy to use</v>
      </c>
      <c r="I17" t="s">
        <v>522</v>
      </c>
      <c r="J17" t="str">
        <f t="shared" si="2"/>
        <v>&lt;G1P&gt;`     GCash is easy to use</v>
      </c>
    </row>
    <row r="18" spans="1:10" x14ac:dyDescent="0.25">
      <c r="A18" s="133" t="s">
        <v>1474</v>
      </c>
      <c r="B18" s="135" t="s">
        <v>1456</v>
      </c>
      <c r="C18" t="s">
        <v>6</v>
      </c>
      <c r="D18" t="s">
        <v>323</v>
      </c>
      <c r="E18" t="s">
        <v>322</v>
      </c>
      <c r="F18" t="s">
        <v>327</v>
      </c>
      <c r="G18" t="str">
        <f t="shared" si="0"/>
        <v>1011+1012</v>
      </c>
      <c r="H18" t="str">
        <f t="shared" si="1"/>
        <v>`BARANGAY GCASH NET&lt;Q&gt;</v>
      </c>
      <c r="J18" t="str">
        <f t="shared" si="2"/>
        <v>`BARANGAY GCASH NET&lt;Q&gt;</v>
      </c>
    </row>
    <row r="19" spans="1:10" x14ac:dyDescent="0.25">
      <c r="A19" s="133">
        <v>1011</v>
      </c>
      <c r="B19" s="134" t="s">
        <v>1457</v>
      </c>
      <c r="C19" t="s">
        <v>16</v>
      </c>
      <c r="D19" t="s">
        <v>318</v>
      </c>
      <c r="F19" t="s">
        <v>326</v>
      </c>
      <c r="G19">
        <f t="shared" si="0"/>
        <v>1011</v>
      </c>
      <c r="H19" t="str">
        <f t="shared" si="1"/>
        <v>`     They go to different barangays and give price using GCash</v>
      </c>
      <c r="I19" t="s">
        <v>520</v>
      </c>
      <c r="J19" t="str">
        <f t="shared" si="2"/>
        <v>&lt;G2B&gt;&lt;G1P&gt;`     They go to different barangays and give price using GCash</v>
      </c>
    </row>
    <row r="20" spans="1:10" x14ac:dyDescent="0.25">
      <c r="A20" s="133">
        <v>1012</v>
      </c>
      <c r="B20" s="134" t="s">
        <v>1458</v>
      </c>
      <c r="C20" t="s">
        <v>16</v>
      </c>
      <c r="D20" t="s">
        <v>318</v>
      </c>
      <c r="F20" t="s">
        <v>326</v>
      </c>
      <c r="G20">
        <f t="shared" si="0"/>
        <v>1012</v>
      </c>
      <c r="H20" t="str">
        <f t="shared" si="1"/>
        <v>`     Baranggay GCash</v>
      </c>
      <c r="I20" t="s">
        <v>521</v>
      </c>
      <c r="J20" t="str">
        <f t="shared" si="2"/>
        <v>&lt;G2E&gt;&lt;G1P&gt;`     Baranggay GCash</v>
      </c>
    </row>
    <row r="21" spans="1:10" x14ac:dyDescent="0.25">
      <c r="A21" s="133" t="s">
        <v>1475</v>
      </c>
      <c r="B21" s="136" t="s">
        <v>1459</v>
      </c>
      <c r="C21" t="s">
        <v>6</v>
      </c>
      <c r="D21" t="s">
        <v>323</v>
      </c>
      <c r="E21" t="s">
        <v>322</v>
      </c>
      <c r="F21" t="s">
        <v>327</v>
      </c>
      <c r="G21" t="str">
        <f t="shared" si="0"/>
        <v>1013+1014+1015+1016+1017</v>
      </c>
      <c r="H21" t="str">
        <f t="shared" si="1"/>
        <v>`BUY LOAD NET&lt;Q&gt;</v>
      </c>
      <c r="J21" t="str">
        <f t="shared" si="2"/>
        <v>`BUY LOAD NET&lt;Q&gt;</v>
      </c>
    </row>
    <row r="22" spans="1:10" x14ac:dyDescent="0.25">
      <c r="A22" s="133">
        <v>1013</v>
      </c>
      <c r="B22" s="134" t="s">
        <v>1460</v>
      </c>
      <c r="C22" t="s">
        <v>16</v>
      </c>
      <c r="D22" t="s">
        <v>318</v>
      </c>
      <c r="F22" t="s">
        <v>326</v>
      </c>
      <c r="G22">
        <f t="shared" si="0"/>
        <v>1013</v>
      </c>
      <c r="H22" t="str">
        <f t="shared" si="1"/>
        <v xml:space="preserve">`     Can buy load using Gcash </v>
      </c>
      <c r="I22" t="s">
        <v>520</v>
      </c>
      <c r="J22" t="str">
        <f t="shared" si="2"/>
        <v xml:space="preserve">&lt;G2B&gt;&lt;G1P&gt;`     Can buy load using Gcash </v>
      </c>
    </row>
    <row r="23" spans="1:10" x14ac:dyDescent="0.25">
      <c r="A23" s="133">
        <v>1014</v>
      </c>
      <c r="B23" s="134" t="s">
        <v>1461</v>
      </c>
      <c r="C23" t="s">
        <v>16</v>
      </c>
      <c r="D23" t="s">
        <v>318</v>
      </c>
      <c r="F23" t="s">
        <v>326</v>
      </c>
      <c r="G23">
        <f t="shared" si="0"/>
        <v>1014</v>
      </c>
      <c r="H23" t="str">
        <f t="shared" si="1"/>
        <v>`     Can buy load  via GCash anytime and anywhere</v>
      </c>
      <c r="I23" t="s">
        <v>522</v>
      </c>
      <c r="J23" t="str">
        <f t="shared" si="2"/>
        <v>&lt;G1P&gt;`     Can buy load  via GCash anytime and anywhere</v>
      </c>
    </row>
    <row r="24" spans="1:10" x14ac:dyDescent="0.25">
      <c r="A24" s="133">
        <v>1015</v>
      </c>
      <c r="B24" s="134" t="s">
        <v>1462</v>
      </c>
      <c r="C24" t="s">
        <v>16</v>
      </c>
      <c r="D24" t="s">
        <v>318</v>
      </c>
      <c r="F24" t="s">
        <v>326</v>
      </c>
      <c r="G24">
        <f t="shared" si="0"/>
        <v>1015</v>
      </c>
      <c r="H24" t="str">
        <f t="shared" si="1"/>
        <v>`     Can buy load  via GCash for all networks</v>
      </c>
      <c r="I24" t="s">
        <v>522</v>
      </c>
      <c r="J24" t="str">
        <f t="shared" si="2"/>
        <v>&lt;G1P&gt;`     Can buy load  via GCash for all networks</v>
      </c>
    </row>
    <row r="25" spans="1:10" x14ac:dyDescent="0.25">
      <c r="A25" s="133">
        <v>1016</v>
      </c>
      <c r="B25" s="134" t="s">
        <v>1463</v>
      </c>
      <c r="C25" t="s">
        <v>16</v>
      </c>
      <c r="D25" t="s">
        <v>318</v>
      </c>
      <c r="F25" t="s">
        <v>326</v>
      </c>
      <c r="G25">
        <f t="shared" si="0"/>
        <v>1016</v>
      </c>
      <c r="H25" t="str">
        <f t="shared" si="1"/>
        <v>`     Quick to buy load via GCash</v>
      </c>
      <c r="I25" t="s">
        <v>522</v>
      </c>
      <c r="J25" t="str">
        <f t="shared" si="2"/>
        <v>&lt;G1P&gt;`     Quick to buy load via GCash</v>
      </c>
    </row>
    <row r="26" spans="1:10" x14ac:dyDescent="0.25">
      <c r="A26" s="133">
        <v>1017</v>
      </c>
      <c r="B26" s="134" t="s">
        <v>1464</v>
      </c>
      <c r="C26" t="s">
        <v>16</v>
      </c>
      <c r="D26" t="s">
        <v>318</v>
      </c>
      <c r="F26" t="s">
        <v>326</v>
      </c>
      <c r="G26">
        <f t="shared" si="0"/>
        <v>1017</v>
      </c>
      <c r="H26" t="str">
        <f t="shared" si="1"/>
        <v>`     Easy to load via GCash</v>
      </c>
      <c r="I26" t="s">
        <v>521</v>
      </c>
      <c r="J26" t="str">
        <f t="shared" si="2"/>
        <v>&lt;G2E&gt;&lt;G1P&gt;`     Easy to load via GCash</v>
      </c>
    </row>
    <row r="27" spans="1:10" x14ac:dyDescent="0.25">
      <c r="A27" s="133" t="s">
        <v>1476</v>
      </c>
      <c r="B27" s="136" t="s">
        <v>1465</v>
      </c>
      <c r="C27" t="s">
        <v>6</v>
      </c>
      <c r="D27" t="s">
        <v>323</v>
      </c>
      <c r="E27" t="s">
        <v>322</v>
      </c>
      <c r="F27" t="s">
        <v>327</v>
      </c>
      <c r="G27" t="str">
        <f t="shared" si="0"/>
        <v>1018+1019</v>
      </c>
      <c r="H27" t="str">
        <f t="shared" si="1"/>
        <v>`ABOUT GCASH NET&lt;Q&gt;</v>
      </c>
      <c r="J27" t="str">
        <f t="shared" si="2"/>
        <v>`ABOUT GCASH NET&lt;Q&gt;</v>
      </c>
    </row>
    <row r="28" spans="1:10" x14ac:dyDescent="0.25">
      <c r="A28" s="133">
        <v>1018</v>
      </c>
      <c r="B28" s="134" t="s">
        <v>1157</v>
      </c>
      <c r="C28" t="s">
        <v>16</v>
      </c>
      <c r="D28" t="s">
        <v>318</v>
      </c>
      <c r="F28" t="s">
        <v>326</v>
      </c>
      <c r="G28">
        <f t="shared" si="0"/>
        <v>1018</v>
      </c>
      <c r="H28" t="str">
        <f t="shared" si="1"/>
        <v>`     GCash is important</v>
      </c>
      <c r="I28" t="s">
        <v>520</v>
      </c>
      <c r="J28" t="str">
        <f t="shared" si="2"/>
        <v>&lt;G2B&gt;&lt;G1P&gt;`     GCash is important</v>
      </c>
    </row>
    <row r="29" spans="1:10" x14ac:dyDescent="0.25">
      <c r="A29" s="133">
        <v>1019</v>
      </c>
      <c r="B29" s="134" t="s">
        <v>641</v>
      </c>
      <c r="C29" t="s">
        <v>16</v>
      </c>
      <c r="D29" t="s">
        <v>318</v>
      </c>
      <c r="F29" t="s">
        <v>326</v>
      </c>
      <c r="G29">
        <f t="shared" si="0"/>
        <v>1019</v>
      </c>
      <c r="H29" t="str">
        <f t="shared" si="1"/>
        <v>`     GCash</v>
      </c>
      <c r="I29" t="s">
        <v>521</v>
      </c>
      <c r="J29" t="str">
        <f t="shared" si="2"/>
        <v>&lt;G2E&gt;&lt;G1P&gt;`     GCash</v>
      </c>
    </row>
    <row r="30" spans="1:10" x14ac:dyDescent="0.25">
      <c r="A30" s="133" t="s">
        <v>174</v>
      </c>
      <c r="B30" s="136" t="s">
        <v>1466</v>
      </c>
      <c r="C30" t="s">
        <v>6</v>
      </c>
      <c r="D30" t="s">
        <v>323</v>
      </c>
      <c r="E30" t="s">
        <v>322</v>
      </c>
      <c r="F30" t="s">
        <v>327</v>
      </c>
      <c r="G30" t="str">
        <f t="shared" si="0"/>
        <v>1020+1021</v>
      </c>
      <c r="H30" t="str">
        <f t="shared" si="1"/>
        <v>`CONVENIENCE NET&lt;Q&gt;</v>
      </c>
      <c r="J30" t="str">
        <f t="shared" si="2"/>
        <v>`CONVENIENCE NET&lt;Q&gt;</v>
      </c>
    </row>
    <row r="31" spans="1:10" x14ac:dyDescent="0.25">
      <c r="A31" s="133">
        <v>1020</v>
      </c>
      <c r="B31" s="134" t="s">
        <v>732</v>
      </c>
      <c r="C31" t="s">
        <v>16</v>
      </c>
      <c r="D31" t="s">
        <v>318</v>
      </c>
      <c r="F31" t="s">
        <v>326</v>
      </c>
      <c r="G31">
        <f t="shared" si="0"/>
        <v>1020</v>
      </c>
      <c r="H31" t="str">
        <f t="shared" si="1"/>
        <v>`     GCash is convenient to use</v>
      </c>
      <c r="I31" t="s">
        <v>520</v>
      </c>
      <c r="J31" t="str">
        <f t="shared" si="2"/>
        <v>&lt;G2B&gt;&lt;G1P&gt;`     GCash is convenient to use</v>
      </c>
    </row>
    <row r="32" spans="1:10" x14ac:dyDescent="0.25">
      <c r="A32" s="133">
        <v>1021</v>
      </c>
      <c r="B32" s="134" t="s">
        <v>1467</v>
      </c>
      <c r="C32" t="s">
        <v>16</v>
      </c>
      <c r="D32" t="s">
        <v>318</v>
      </c>
      <c r="F32" t="s">
        <v>326</v>
      </c>
      <c r="G32">
        <f t="shared" si="0"/>
        <v>1021</v>
      </c>
      <c r="H32" t="str">
        <f t="shared" si="1"/>
        <v>`     Less hassle</v>
      </c>
      <c r="I32" t="s">
        <v>521</v>
      </c>
      <c r="J32" t="str">
        <f t="shared" si="2"/>
        <v>&lt;G2E&gt;&lt;G1P&gt;`     Less hassle</v>
      </c>
    </row>
    <row r="33" spans="1:10" x14ac:dyDescent="0.25">
      <c r="A33" s="133">
        <v>1022</v>
      </c>
      <c r="B33" s="136" t="s">
        <v>1468</v>
      </c>
      <c r="C33" t="s">
        <v>6</v>
      </c>
      <c r="D33" t="s">
        <v>323</v>
      </c>
      <c r="E33" t="s">
        <v>322</v>
      </c>
      <c r="F33" t="s">
        <v>327</v>
      </c>
      <c r="G33">
        <f t="shared" si="0"/>
        <v>1022</v>
      </c>
      <c r="H33" t="str">
        <f t="shared" si="1"/>
        <v>`ABOUT LOANS NET&lt;Q&gt;</v>
      </c>
      <c r="J33" t="str">
        <f t="shared" si="2"/>
        <v>`ABOUT LOANS NET&lt;Q&gt;</v>
      </c>
    </row>
    <row r="34" spans="1:10" x14ac:dyDescent="0.25">
      <c r="A34" s="133">
        <v>1022</v>
      </c>
      <c r="B34" s="134" t="s">
        <v>1469</v>
      </c>
      <c r="C34" t="s">
        <v>16</v>
      </c>
      <c r="D34" t="s">
        <v>318</v>
      </c>
      <c r="F34" t="s">
        <v>326</v>
      </c>
      <c r="G34">
        <f t="shared" si="0"/>
        <v>1022</v>
      </c>
      <c r="H34" t="str">
        <f t="shared" si="1"/>
        <v>`     Giving out loans</v>
      </c>
      <c r="I34" t="s">
        <v>522</v>
      </c>
      <c r="J34" t="str">
        <f t="shared" si="2"/>
        <v>&lt;G1P&gt;`     Giving out loans</v>
      </c>
    </row>
    <row r="35" spans="1:10" x14ac:dyDescent="0.25">
      <c r="A35" s="133">
        <v>1023</v>
      </c>
      <c r="B35" s="136" t="s">
        <v>1470</v>
      </c>
      <c r="C35" t="s">
        <v>6</v>
      </c>
      <c r="D35" t="s">
        <v>323</v>
      </c>
      <c r="E35" t="s">
        <v>322</v>
      </c>
      <c r="F35" t="s">
        <v>327</v>
      </c>
      <c r="G35">
        <f t="shared" si="0"/>
        <v>1023</v>
      </c>
      <c r="H35" t="str">
        <f t="shared" si="1"/>
        <v>`ADVERTISING GCASH NET&lt;Q&gt;</v>
      </c>
      <c r="I35" t="s">
        <v>519</v>
      </c>
      <c r="J35" t="str">
        <f t="shared" si="2"/>
        <v>&lt;G1E&gt;`ADVERTISING GCASH NET&lt;Q&gt;</v>
      </c>
    </row>
    <row r="36" spans="1:10" x14ac:dyDescent="0.25">
      <c r="A36" s="133">
        <v>1023</v>
      </c>
      <c r="B36" s="134" t="s">
        <v>913</v>
      </c>
      <c r="C36" t="s">
        <v>16</v>
      </c>
      <c r="D36" t="s">
        <v>318</v>
      </c>
      <c r="F36" t="s">
        <v>326</v>
      </c>
      <c r="G36">
        <f t="shared" si="0"/>
        <v>1023</v>
      </c>
      <c r="H36" t="str">
        <f t="shared" si="1"/>
        <v>`     Encouraging people to use GCash</v>
      </c>
      <c r="J36" t="str">
        <f t="shared" si="2"/>
        <v>`     Encouraging people to use GCash</v>
      </c>
    </row>
    <row r="37" spans="1:10" x14ac:dyDescent="0.25">
      <c r="A37" s="133">
        <v>9997</v>
      </c>
      <c r="B37" s="137" t="s">
        <v>796</v>
      </c>
      <c r="G37">
        <f t="shared" si="0"/>
        <v>9997</v>
      </c>
      <c r="H37" t="str">
        <f t="shared" si="1"/>
        <v>No comment</v>
      </c>
      <c r="J37" t="str">
        <f t="shared" si="2"/>
        <v>No comment</v>
      </c>
    </row>
    <row r="38" spans="1:10" x14ac:dyDescent="0.25">
      <c r="A38" s="133">
        <v>9999</v>
      </c>
      <c r="B38" s="134" t="s">
        <v>303</v>
      </c>
      <c r="G38">
        <f t="shared" si="0"/>
        <v>9999</v>
      </c>
      <c r="H38" t="str">
        <f t="shared" si="1"/>
        <v>None</v>
      </c>
      <c r="J38" t="str">
        <f t="shared" si="2"/>
        <v>None</v>
      </c>
    </row>
    <row r="39" spans="1:10" x14ac:dyDescent="0.25">
      <c r="A39" s="133"/>
      <c r="B39" s="134"/>
    </row>
    <row r="40" spans="1:10" x14ac:dyDescent="0.25">
      <c r="A40" s="133"/>
      <c r="B40" s="134"/>
    </row>
    <row r="41" spans="1:10" x14ac:dyDescent="0.25">
      <c r="A41" s="133"/>
      <c r="B41" s="134"/>
    </row>
    <row r="42" spans="1:10" x14ac:dyDescent="0.25">
      <c r="A42" s="133"/>
      <c r="B42" s="134"/>
    </row>
    <row r="43" spans="1:10" x14ac:dyDescent="0.25">
      <c r="A43" s="133"/>
      <c r="B43" s="134"/>
    </row>
    <row r="44" spans="1:10" x14ac:dyDescent="0.25">
      <c r="A44" s="133"/>
      <c r="B44" s="134"/>
    </row>
    <row r="45" spans="1:10" x14ac:dyDescent="0.25">
      <c r="A45" s="133"/>
      <c r="B45" s="134"/>
    </row>
    <row r="46" spans="1:10" x14ac:dyDescent="0.25">
      <c r="A46" s="133"/>
      <c r="B46" s="134"/>
    </row>
    <row r="47" spans="1:10" x14ac:dyDescent="0.25">
      <c r="A47" s="133"/>
      <c r="B47" s="134"/>
    </row>
    <row r="48" spans="1:10" x14ac:dyDescent="0.25">
      <c r="A48" s="133"/>
      <c r="B48" s="134"/>
    </row>
    <row r="49" spans="1:2" x14ac:dyDescent="0.25">
      <c r="A49" s="133"/>
      <c r="B49" s="134"/>
    </row>
    <row r="50" spans="1:2" x14ac:dyDescent="0.25">
      <c r="A50" s="133"/>
      <c r="B50" s="134"/>
    </row>
    <row r="51" spans="1:2" x14ac:dyDescent="0.25">
      <c r="A51" s="133"/>
      <c r="B51" s="134"/>
    </row>
    <row r="52" spans="1:2" x14ac:dyDescent="0.25">
      <c r="A52" s="133"/>
      <c r="B52" s="134"/>
    </row>
    <row r="53" spans="1:2" x14ac:dyDescent="0.25">
      <c r="A53" s="133"/>
      <c r="B53" s="134"/>
    </row>
    <row r="54" spans="1:2" x14ac:dyDescent="0.25">
      <c r="A54" s="133"/>
      <c r="B54" s="134"/>
    </row>
    <row r="55" spans="1:2" x14ac:dyDescent="0.25">
      <c r="A55" s="133"/>
      <c r="B55" s="134"/>
    </row>
    <row r="56" spans="1:2" x14ac:dyDescent="0.25">
      <c r="A56" s="133"/>
      <c r="B56" s="134"/>
    </row>
    <row r="57" spans="1:2" x14ac:dyDescent="0.25">
      <c r="A57" s="133"/>
      <c r="B57" s="134"/>
    </row>
    <row r="58" spans="1:2" x14ac:dyDescent="0.25">
      <c r="A58" s="133"/>
      <c r="B58" s="134"/>
    </row>
    <row r="59" spans="1:2" x14ac:dyDescent="0.25">
      <c r="A59" s="133"/>
      <c r="B59" s="134"/>
    </row>
    <row r="60" spans="1:2" x14ac:dyDescent="0.25">
      <c r="A60" s="133"/>
      <c r="B60" s="134"/>
    </row>
    <row r="61" spans="1:2" x14ac:dyDescent="0.25">
      <c r="A61" s="133"/>
      <c r="B61" s="134"/>
    </row>
    <row r="62" spans="1:2" x14ac:dyDescent="0.25">
      <c r="A62" s="133"/>
      <c r="B62" s="134"/>
    </row>
    <row r="63" spans="1:2" x14ac:dyDescent="0.25">
      <c r="A63" s="133"/>
      <c r="B63" s="134"/>
    </row>
    <row r="64" spans="1:2" x14ac:dyDescent="0.25">
      <c r="A64" s="133"/>
      <c r="B64" s="134"/>
    </row>
    <row r="65" spans="1:2" x14ac:dyDescent="0.25">
      <c r="A65" s="133"/>
      <c r="B65" s="134"/>
    </row>
    <row r="66" spans="1:2" x14ac:dyDescent="0.25">
      <c r="A66" s="133"/>
      <c r="B66" s="134"/>
    </row>
    <row r="67" spans="1:2" x14ac:dyDescent="0.25">
      <c r="A67" s="133"/>
      <c r="B67" s="134"/>
    </row>
  </sheetData>
  <autoFilter ref="A1:C67" xr:uid="{4BFAC6EF-03DA-48BB-BB13-861F43F7BDC0}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D6913-E831-4304-88AD-9541965DED1E}">
  <dimension ref="A1:J160"/>
  <sheetViews>
    <sheetView workbookViewId="0">
      <selection activeCell="F1" sqref="F1"/>
    </sheetView>
  </sheetViews>
  <sheetFormatPr defaultRowHeight="15" x14ac:dyDescent="0.25"/>
  <cols>
    <col min="2" max="2" width="62.85546875" customWidth="1"/>
  </cols>
  <sheetData>
    <row r="1" spans="1:10" x14ac:dyDescent="0.25">
      <c r="A1" s="138" t="s">
        <v>533</v>
      </c>
      <c r="B1" s="138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ht="15.75" x14ac:dyDescent="0.25">
      <c r="A2" s="33" t="s">
        <v>798</v>
      </c>
      <c r="B2" s="139" t="s">
        <v>651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33" si="0">IF(A2="","",A2)</f>
        <v>2000+2001+2017+2002+2003+2061+2063+2081+2082+2084+2056+2104</v>
      </c>
      <c r="H2" t="str">
        <f t="shared" ref="H2:H33" si="1">_xlfn.CONCAT(D2,SUBSTITUTE(B2,"""","`"""),E2)</f>
        <v>`CAN USE GCASH ANYWHERE/ANYTIME (NET)&lt;Q&gt;</v>
      </c>
      <c r="I2" t="s">
        <v>518</v>
      </c>
      <c r="J2" t="str">
        <f t="shared" ref="J2:J33" si="2">_xlfn.CONCAT(I2,H2)</f>
        <v>&lt;G1B&gt;`CAN USE GCASH ANYWHERE/ANYTIME (NET)&lt;Q&gt;</v>
      </c>
    </row>
    <row r="3" spans="1:10" x14ac:dyDescent="0.25">
      <c r="A3" s="33">
        <v>2000</v>
      </c>
      <c r="B3" s="140" t="s">
        <v>652</v>
      </c>
      <c r="C3" t="s">
        <v>16</v>
      </c>
      <c r="D3" t="s">
        <v>318</v>
      </c>
      <c r="F3" t="s">
        <v>326</v>
      </c>
      <c r="G3">
        <f t="shared" si="0"/>
        <v>2000</v>
      </c>
      <c r="H3" t="str">
        <f t="shared" si="1"/>
        <v>`     Can use GCash anywhere</v>
      </c>
      <c r="I3" t="s">
        <v>520</v>
      </c>
      <c r="J3" t="str">
        <f t="shared" si="2"/>
        <v>&lt;G2B&gt;&lt;G1P&gt;`     Can use GCash anywhere</v>
      </c>
    </row>
    <row r="4" spans="1:10" x14ac:dyDescent="0.25">
      <c r="A4" s="33" t="s">
        <v>653</v>
      </c>
      <c r="B4" s="140" t="s">
        <v>654</v>
      </c>
      <c r="C4" t="s">
        <v>16</v>
      </c>
      <c r="D4" t="s">
        <v>318</v>
      </c>
      <c r="F4" t="s">
        <v>326</v>
      </c>
      <c r="G4" t="str">
        <f t="shared" si="0"/>
        <v>2001+2017</v>
      </c>
      <c r="H4" t="str">
        <f t="shared" si="1"/>
        <v>`     Can buy load via GCash even while in-transit</v>
      </c>
      <c r="I4" t="s">
        <v>522</v>
      </c>
      <c r="J4" t="str">
        <f t="shared" si="2"/>
        <v>&lt;G1P&gt;`     Can buy load via GCash even while in-transit</v>
      </c>
    </row>
    <row r="5" spans="1:10" x14ac:dyDescent="0.25">
      <c r="A5" s="33">
        <v>2002</v>
      </c>
      <c r="B5" s="140" t="s">
        <v>655</v>
      </c>
      <c r="C5" t="s">
        <v>16</v>
      </c>
      <c r="D5" t="s">
        <v>318</v>
      </c>
      <c r="F5" t="s">
        <v>326</v>
      </c>
      <c r="G5">
        <f t="shared" si="0"/>
        <v>2002</v>
      </c>
      <c r="H5" t="str">
        <f t="shared" si="1"/>
        <v>`     GCash is reliable anywhere</v>
      </c>
      <c r="I5" t="s">
        <v>522</v>
      </c>
      <c r="J5" t="str">
        <f t="shared" si="2"/>
        <v>&lt;G1P&gt;`     GCash is reliable anywhere</v>
      </c>
    </row>
    <row r="6" spans="1:10" x14ac:dyDescent="0.25">
      <c r="A6" s="33">
        <v>2003</v>
      </c>
      <c r="B6" s="140" t="s">
        <v>656</v>
      </c>
      <c r="C6" t="s">
        <v>16</v>
      </c>
      <c r="D6" t="s">
        <v>318</v>
      </c>
      <c r="F6" t="s">
        <v>326</v>
      </c>
      <c r="G6">
        <f t="shared" si="0"/>
        <v>2003</v>
      </c>
      <c r="H6" t="str">
        <f t="shared" si="1"/>
        <v>`     Can buy load anywhere/anytime</v>
      </c>
      <c r="I6" t="s">
        <v>522</v>
      </c>
      <c r="J6" t="str">
        <f t="shared" si="2"/>
        <v>&lt;G1P&gt;`     Can buy load anywhere/anytime</v>
      </c>
    </row>
    <row r="7" spans="1:10" x14ac:dyDescent="0.25">
      <c r="A7" s="141">
        <v>2061</v>
      </c>
      <c r="B7" s="142" t="s">
        <v>657</v>
      </c>
      <c r="C7" t="s">
        <v>16</v>
      </c>
      <c r="D7" t="s">
        <v>318</v>
      </c>
      <c r="F7" t="s">
        <v>326</v>
      </c>
      <c r="G7">
        <f t="shared" si="0"/>
        <v>2061</v>
      </c>
      <c r="H7" t="str">
        <f t="shared" si="1"/>
        <v>`     Can buy load on GCash anytime/anywhere</v>
      </c>
      <c r="I7" t="s">
        <v>522</v>
      </c>
      <c r="J7" t="str">
        <f t="shared" si="2"/>
        <v>&lt;G1P&gt;`     Can buy load on GCash anytime/anywhere</v>
      </c>
    </row>
    <row r="8" spans="1:10" x14ac:dyDescent="0.25">
      <c r="A8" s="141">
        <v>2063</v>
      </c>
      <c r="B8" s="142" t="s">
        <v>658</v>
      </c>
      <c r="C8" t="s">
        <v>16</v>
      </c>
      <c r="D8" t="s">
        <v>318</v>
      </c>
      <c r="F8" t="s">
        <v>326</v>
      </c>
      <c r="G8">
        <f t="shared" si="0"/>
        <v>2063</v>
      </c>
      <c r="H8" t="str">
        <f t="shared" si="1"/>
        <v>`     Can use anytime anywhere</v>
      </c>
      <c r="I8" t="s">
        <v>522</v>
      </c>
      <c r="J8" t="str">
        <f t="shared" si="2"/>
        <v>&lt;G1P&gt;`     Can use anytime anywhere</v>
      </c>
    </row>
    <row r="9" spans="1:10" x14ac:dyDescent="0.25">
      <c r="A9" s="141">
        <v>2081</v>
      </c>
      <c r="B9" s="142" t="s">
        <v>659</v>
      </c>
      <c r="C9" t="s">
        <v>16</v>
      </c>
      <c r="D9" t="s">
        <v>318</v>
      </c>
      <c r="F9" t="s">
        <v>326</v>
      </c>
      <c r="G9">
        <f t="shared" si="0"/>
        <v>2081</v>
      </c>
      <c r="H9" t="str">
        <f t="shared" si="1"/>
        <v>`     Can load using GCash wherever you are</v>
      </c>
      <c r="I9" t="s">
        <v>522</v>
      </c>
      <c r="J9" t="str">
        <f t="shared" si="2"/>
        <v>&lt;G1P&gt;`     Can load using GCash wherever you are</v>
      </c>
    </row>
    <row r="10" spans="1:10" x14ac:dyDescent="0.25">
      <c r="A10" s="141">
        <v>2082</v>
      </c>
      <c r="B10" s="142" t="s">
        <v>660</v>
      </c>
      <c r="C10" t="s">
        <v>16</v>
      </c>
      <c r="D10" t="s">
        <v>318</v>
      </c>
      <c r="F10" t="s">
        <v>326</v>
      </c>
      <c r="G10">
        <f t="shared" si="0"/>
        <v>2082</v>
      </c>
      <c r="H10" t="str">
        <f t="shared" si="1"/>
        <v>`     Anywhere or anytime you can load with GCash</v>
      </c>
      <c r="I10" t="s">
        <v>522</v>
      </c>
      <c r="J10" t="str">
        <f t="shared" si="2"/>
        <v>&lt;G1P&gt;`     Anywhere or anytime you can load with GCash</v>
      </c>
    </row>
    <row r="11" spans="1:10" x14ac:dyDescent="0.25">
      <c r="A11" s="141">
        <v>2084</v>
      </c>
      <c r="B11" s="142" t="s">
        <v>661</v>
      </c>
      <c r="C11" t="s">
        <v>16</v>
      </c>
      <c r="D11" t="s">
        <v>318</v>
      </c>
      <c r="F11" t="s">
        <v>326</v>
      </c>
      <c r="G11">
        <f t="shared" si="0"/>
        <v>2084</v>
      </c>
      <c r="H11" t="str">
        <f t="shared" si="1"/>
        <v>`     GCash is anywhere</v>
      </c>
      <c r="I11" t="s">
        <v>522</v>
      </c>
      <c r="J11" t="str">
        <f t="shared" si="2"/>
        <v>&lt;G1P&gt;`     GCash is anywhere</v>
      </c>
    </row>
    <row r="12" spans="1:10" x14ac:dyDescent="0.25">
      <c r="A12" s="141">
        <v>2056</v>
      </c>
      <c r="B12" s="142" t="s">
        <v>662</v>
      </c>
      <c r="C12" t="s">
        <v>16</v>
      </c>
      <c r="D12" t="s">
        <v>318</v>
      </c>
      <c r="F12" t="s">
        <v>326</v>
      </c>
      <c r="G12">
        <f t="shared" si="0"/>
        <v>2056</v>
      </c>
      <c r="H12" t="str">
        <f t="shared" si="1"/>
        <v>`     Can access GCash anywhere</v>
      </c>
      <c r="I12" t="s">
        <v>522</v>
      </c>
      <c r="J12" t="str">
        <f t="shared" si="2"/>
        <v>&lt;G1P&gt;`     Can access GCash anywhere</v>
      </c>
    </row>
    <row r="13" spans="1:10" x14ac:dyDescent="0.25">
      <c r="A13" s="141">
        <v>2104</v>
      </c>
      <c r="B13" s="142" t="s">
        <v>663</v>
      </c>
      <c r="C13" t="s">
        <v>16</v>
      </c>
      <c r="D13" t="s">
        <v>318</v>
      </c>
      <c r="F13" t="s">
        <v>326</v>
      </c>
      <c r="G13">
        <f t="shared" si="0"/>
        <v>2104</v>
      </c>
      <c r="H13" t="str">
        <f t="shared" si="1"/>
        <v>`     Many are using GCash</v>
      </c>
      <c r="I13" t="s">
        <v>521</v>
      </c>
      <c r="J13" t="str">
        <f t="shared" si="2"/>
        <v>&lt;G2E&gt;&lt;G1P&gt;`     Many are using GCash</v>
      </c>
    </row>
    <row r="14" spans="1:10" ht="15.75" x14ac:dyDescent="0.25">
      <c r="A14" s="33" t="s">
        <v>799</v>
      </c>
      <c r="B14" s="139" t="s">
        <v>664</v>
      </c>
      <c r="C14" t="s">
        <v>6</v>
      </c>
      <c r="D14" t="s">
        <v>323</v>
      </c>
      <c r="E14" t="s">
        <v>322</v>
      </c>
      <c r="F14" t="s">
        <v>327</v>
      </c>
      <c r="G14" t="str">
        <f t="shared" si="0"/>
        <v>2004+2096</v>
      </c>
      <c r="H14" t="str">
        <f t="shared" si="1"/>
        <v>`EASE OF ACCESS (NET)&lt;Q&gt;</v>
      </c>
      <c r="J14" t="str">
        <f t="shared" si="2"/>
        <v>`EASE OF ACCESS (NET)&lt;Q&gt;</v>
      </c>
    </row>
    <row r="15" spans="1:10" x14ac:dyDescent="0.25">
      <c r="A15" s="33">
        <v>2004</v>
      </c>
      <c r="B15" s="140" t="s">
        <v>665</v>
      </c>
      <c r="C15" t="s">
        <v>16</v>
      </c>
      <c r="D15" t="s">
        <v>318</v>
      </c>
      <c r="F15" t="s">
        <v>326</v>
      </c>
      <c r="G15">
        <f t="shared" si="0"/>
        <v>2004</v>
      </c>
      <c r="H15" t="str">
        <f t="shared" si="1"/>
        <v>`     Easy access</v>
      </c>
      <c r="I15" t="s">
        <v>520</v>
      </c>
      <c r="J15" t="str">
        <f t="shared" si="2"/>
        <v>&lt;G2B&gt;&lt;G1P&gt;`     Easy access</v>
      </c>
    </row>
    <row r="16" spans="1:10" x14ac:dyDescent="0.25">
      <c r="A16" s="141">
        <v>2096</v>
      </c>
      <c r="B16" s="142" t="s">
        <v>666</v>
      </c>
      <c r="C16" t="s">
        <v>16</v>
      </c>
      <c r="D16" t="s">
        <v>318</v>
      </c>
      <c r="F16" t="s">
        <v>326</v>
      </c>
      <c r="G16">
        <f t="shared" si="0"/>
        <v>2096</v>
      </c>
      <c r="H16" t="str">
        <f t="shared" si="1"/>
        <v>`     Can be use in any online transaction</v>
      </c>
      <c r="I16" t="s">
        <v>521</v>
      </c>
      <c r="J16" t="str">
        <f t="shared" si="2"/>
        <v>&lt;G2E&gt;&lt;G1P&gt;`     Can be use in any online transaction</v>
      </c>
    </row>
    <row r="17" spans="1:10" ht="15.75" x14ac:dyDescent="0.25">
      <c r="A17" s="143" t="s">
        <v>800</v>
      </c>
      <c r="B17" s="139" t="s">
        <v>667</v>
      </c>
      <c r="C17" t="s">
        <v>6</v>
      </c>
      <c r="D17" t="s">
        <v>323</v>
      </c>
      <c r="E17" t="s">
        <v>322</v>
      </c>
      <c r="F17" t="s">
        <v>327</v>
      </c>
      <c r="G17" t="str">
        <f t="shared" si="0"/>
        <v>2008+2042+2107+2108</v>
      </c>
      <c r="H17" t="str">
        <f t="shared" si="1"/>
        <v>`HAPPY (NET)&lt;Q&gt;</v>
      </c>
      <c r="J17" t="str">
        <f t="shared" si="2"/>
        <v>`HAPPY (NET)&lt;Q&gt;</v>
      </c>
    </row>
    <row r="18" spans="1:10" x14ac:dyDescent="0.25">
      <c r="A18" s="143" t="s">
        <v>668</v>
      </c>
      <c r="B18" s="140" t="s">
        <v>669</v>
      </c>
      <c r="C18" t="s">
        <v>16</v>
      </c>
      <c r="D18" t="s">
        <v>318</v>
      </c>
      <c r="F18" t="s">
        <v>326</v>
      </c>
      <c r="G18" t="str">
        <f t="shared" si="0"/>
        <v>2008+2042</v>
      </c>
      <c r="H18" t="str">
        <f t="shared" si="1"/>
        <v>`     Happy</v>
      </c>
      <c r="I18" t="s">
        <v>520</v>
      </c>
      <c r="J18" t="str">
        <f t="shared" si="2"/>
        <v>&lt;G2B&gt;&lt;G1P&gt;`     Happy</v>
      </c>
    </row>
    <row r="19" spans="1:10" x14ac:dyDescent="0.25">
      <c r="A19" s="144">
        <v>2107</v>
      </c>
      <c r="B19" s="142" t="s">
        <v>670</v>
      </c>
      <c r="C19" t="s">
        <v>16</v>
      </c>
      <c r="D19" t="s">
        <v>318</v>
      </c>
      <c r="F19" t="s">
        <v>326</v>
      </c>
      <c r="G19">
        <f t="shared" si="0"/>
        <v>2107</v>
      </c>
      <c r="H19" t="str">
        <f t="shared" si="1"/>
        <v>`     Happy because of GCash</v>
      </c>
      <c r="I19" t="s">
        <v>522</v>
      </c>
      <c r="J19" t="str">
        <f t="shared" si="2"/>
        <v>&lt;G1P&gt;`     Happy because of GCash</v>
      </c>
    </row>
    <row r="20" spans="1:10" x14ac:dyDescent="0.25">
      <c r="A20" s="144">
        <v>2108</v>
      </c>
      <c r="B20" s="142" t="s">
        <v>671</v>
      </c>
      <c r="C20" t="s">
        <v>16</v>
      </c>
      <c r="D20" t="s">
        <v>318</v>
      </c>
      <c r="F20" t="s">
        <v>326</v>
      </c>
      <c r="G20">
        <f t="shared" si="0"/>
        <v>2108</v>
      </c>
      <c r="H20" t="str">
        <f t="shared" si="1"/>
        <v>`     Happy family</v>
      </c>
      <c r="I20" t="s">
        <v>521</v>
      </c>
      <c r="J20" t="str">
        <f t="shared" si="2"/>
        <v>&lt;G2E&gt;&lt;G1P&gt;`     Happy family</v>
      </c>
    </row>
    <row r="21" spans="1:10" ht="15.75" x14ac:dyDescent="0.25">
      <c r="A21" s="143" t="s">
        <v>1478</v>
      </c>
      <c r="B21" s="139" t="s">
        <v>672</v>
      </c>
      <c r="C21" t="s">
        <v>6</v>
      </c>
      <c r="D21" t="s">
        <v>323</v>
      </c>
      <c r="E21" t="s">
        <v>322</v>
      </c>
      <c r="F21" t="s">
        <v>327</v>
      </c>
      <c r="G21" t="str">
        <f t="shared" si="0"/>
        <v>2013+2015+2016+2018+2019+2052+2055+2076+2078+2087+2088+2132+2139+2144+2145</v>
      </c>
      <c r="H21" t="str">
        <f t="shared" si="1"/>
        <v>`BUY LOAD VIA GCASH (NET)&lt;Q&gt;</v>
      </c>
      <c r="J21" t="str">
        <f t="shared" si="2"/>
        <v>`BUY LOAD VIA GCASH (NET)&lt;Q&gt;</v>
      </c>
    </row>
    <row r="22" spans="1:10" x14ac:dyDescent="0.25">
      <c r="A22" s="143">
        <v>2013</v>
      </c>
      <c r="B22" s="140" t="s">
        <v>673</v>
      </c>
      <c r="C22" t="s">
        <v>16</v>
      </c>
      <c r="D22" t="s">
        <v>318</v>
      </c>
      <c r="F22" t="s">
        <v>326</v>
      </c>
      <c r="G22">
        <f t="shared" si="0"/>
        <v>2013</v>
      </c>
      <c r="H22" t="str">
        <f t="shared" si="1"/>
        <v>`     Need to buy load</v>
      </c>
      <c r="I22" t="s">
        <v>520</v>
      </c>
      <c r="J22" t="str">
        <f t="shared" si="2"/>
        <v>&lt;G2B&gt;&lt;G1P&gt;`     Need to buy load</v>
      </c>
    </row>
    <row r="23" spans="1:10" x14ac:dyDescent="0.25">
      <c r="A23" s="143">
        <v>2015</v>
      </c>
      <c r="B23" s="140" t="s">
        <v>674</v>
      </c>
      <c r="C23" t="s">
        <v>16</v>
      </c>
      <c r="D23" t="s">
        <v>318</v>
      </c>
      <c r="F23" t="s">
        <v>326</v>
      </c>
      <c r="G23">
        <f t="shared" si="0"/>
        <v>2015</v>
      </c>
      <c r="H23" t="str">
        <f t="shared" si="1"/>
        <v>`     Can buy load via GCash</v>
      </c>
      <c r="I23" t="s">
        <v>522</v>
      </c>
      <c r="J23" t="str">
        <f t="shared" si="2"/>
        <v>&lt;G1P&gt;`     Can buy load via GCash</v>
      </c>
    </row>
    <row r="24" spans="1:10" x14ac:dyDescent="0.25">
      <c r="A24" s="143">
        <v>2016</v>
      </c>
      <c r="B24" s="140" t="s">
        <v>675</v>
      </c>
      <c r="C24" t="s">
        <v>16</v>
      </c>
      <c r="D24" t="s">
        <v>318</v>
      </c>
      <c r="F24" t="s">
        <v>326</v>
      </c>
      <c r="G24">
        <f t="shared" si="0"/>
        <v>2016</v>
      </c>
      <c r="H24" t="str">
        <f t="shared" si="1"/>
        <v>`     Buy load</v>
      </c>
      <c r="I24" t="s">
        <v>522</v>
      </c>
      <c r="J24" t="str">
        <f t="shared" si="2"/>
        <v>&lt;G1P&gt;`     Buy load</v>
      </c>
    </row>
    <row r="25" spans="1:10" x14ac:dyDescent="0.25">
      <c r="A25" s="143">
        <v>2018</v>
      </c>
      <c r="B25" s="140" t="s">
        <v>676</v>
      </c>
      <c r="C25" t="s">
        <v>16</v>
      </c>
      <c r="D25" t="s">
        <v>318</v>
      </c>
      <c r="F25" t="s">
        <v>326</v>
      </c>
      <c r="G25">
        <f t="shared" si="0"/>
        <v>2018</v>
      </c>
      <c r="H25" t="str">
        <f t="shared" si="1"/>
        <v>`     Easier to buy load via GCash</v>
      </c>
      <c r="I25" t="s">
        <v>522</v>
      </c>
      <c r="J25" t="str">
        <f t="shared" si="2"/>
        <v>&lt;G1P&gt;`     Easier to buy load via GCash</v>
      </c>
    </row>
    <row r="26" spans="1:10" x14ac:dyDescent="0.25">
      <c r="A26" s="33">
        <v>2019</v>
      </c>
      <c r="B26" s="140" t="s">
        <v>677</v>
      </c>
      <c r="C26" t="s">
        <v>16</v>
      </c>
      <c r="D26" t="s">
        <v>318</v>
      </c>
      <c r="F26" t="s">
        <v>326</v>
      </c>
      <c r="G26">
        <f t="shared" si="0"/>
        <v>2019</v>
      </c>
      <c r="H26" t="str">
        <f t="shared" si="1"/>
        <v>`     Can buy load while in-transit</v>
      </c>
      <c r="I26" t="s">
        <v>522</v>
      </c>
      <c r="J26" t="str">
        <f t="shared" si="2"/>
        <v>&lt;G1P&gt;`     Can buy load while in-transit</v>
      </c>
    </row>
    <row r="27" spans="1:10" x14ac:dyDescent="0.25">
      <c r="A27" s="141">
        <v>2052</v>
      </c>
      <c r="B27" s="142" t="s">
        <v>576</v>
      </c>
      <c r="C27" t="s">
        <v>16</v>
      </c>
      <c r="D27" t="s">
        <v>318</v>
      </c>
      <c r="F27" t="s">
        <v>326</v>
      </c>
      <c r="G27">
        <f t="shared" si="0"/>
        <v>2052</v>
      </c>
      <c r="H27" t="str">
        <f t="shared" si="1"/>
        <v>`     Load</v>
      </c>
      <c r="I27" t="s">
        <v>522</v>
      </c>
      <c r="J27" t="str">
        <f t="shared" si="2"/>
        <v>&lt;G1P&gt;`     Load</v>
      </c>
    </row>
    <row r="28" spans="1:10" x14ac:dyDescent="0.25">
      <c r="A28" s="141">
        <v>2055</v>
      </c>
      <c r="B28" s="142" t="s">
        <v>678</v>
      </c>
      <c r="C28" t="s">
        <v>16</v>
      </c>
      <c r="D28" t="s">
        <v>318</v>
      </c>
      <c r="F28" t="s">
        <v>326</v>
      </c>
      <c r="G28">
        <f t="shared" si="0"/>
        <v>2055</v>
      </c>
      <c r="H28" t="str">
        <f t="shared" si="1"/>
        <v>`     About load</v>
      </c>
      <c r="I28" t="s">
        <v>522</v>
      </c>
      <c r="J28" t="str">
        <f t="shared" si="2"/>
        <v>&lt;G1P&gt;`     About load</v>
      </c>
    </row>
    <row r="29" spans="1:10" x14ac:dyDescent="0.25">
      <c r="A29" s="141">
        <v>2076</v>
      </c>
      <c r="B29" s="142" t="s">
        <v>679</v>
      </c>
      <c r="C29" t="s">
        <v>16</v>
      </c>
      <c r="D29" t="s">
        <v>318</v>
      </c>
      <c r="F29" t="s">
        <v>326</v>
      </c>
      <c r="G29">
        <f t="shared" si="0"/>
        <v>2076</v>
      </c>
      <c r="H29" t="str">
        <f t="shared" si="1"/>
        <v>`     Emergency load</v>
      </c>
      <c r="I29" t="s">
        <v>522</v>
      </c>
      <c r="J29" t="str">
        <f t="shared" si="2"/>
        <v>&lt;G1P&gt;`     Emergency load</v>
      </c>
    </row>
    <row r="30" spans="1:10" x14ac:dyDescent="0.25">
      <c r="A30" s="141">
        <v>2078</v>
      </c>
      <c r="B30" s="142" t="s">
        <v>680</v>
      </c>
      <c r="C30" t="s">
        <v>16</v>
      </c>
      <c r="D30" t="s">
        <v>318</v>
      </c>
      <c r="F30" t="s">
        <v>326</v>
      </c>
      <c r="G30">
        <f t="shared" si="0"/>
        <v>2078</v>
      </c>
      <c r="H30" t="str">
        <f t="shared" si="1"/>
        <v>`     GCash load</v>
      </c>
      <c r="I30" t="s">
        <v>522</v>
      </c>
      <c r="J30" t="str">
        <f t="shared" si="2"/>
        <v>&lt;G1P&gt;`     GCash load</v>
      </c>
    </row>
    <row r="31" spans="1:10" x14ac:dyDescent="0.25">
      <c r="A31" s="141">
        <v>2087</v>
      </c>
      <c r="B31" s="142" t="s">
        <v>681</v>
      </c>
      <c r="C31" t="s">
        <v>16</v>
      </c>
      <c r="D31" t="s">
        <v>318</v>
      </c>
      <c r="F31" t="s">
        <v>326</v>
      </c>
      <c r="G31">
        <f t="shared" si="0"/>
        <v>2087</v>
      </c>
      <c r="H31" t="str">
        <f t="shared" si="1"/>
        <v>`     Load online</v>
      </c>
      <c r="I31" t="s">
        <v>522</v>
      </c>
      <c r="J31" t="str">
        <f t="shared" si="2"/>
        <v>&lt;G1P&gt;`     Load online</v>
      </c>
    </row>
    <row r="32" spans="1:10" x14ac:dyDescent="0.25">
      <c r="A32" s="141">
        <v>2088</v>
      </c>
      <c r="B32" s="142" t="s">
        <v>682</v>
      </c>
      <c r="C32" t="s">
        <v>16</v>
      </c>
      <c r="D32" t="s">
        <v>318</v>
      </c>
      <c r="F32" t="s">
        <v>326</v>
      </c>
      <c r="G32">
        <f t="shared" si="0"/>
        <v>2088</v>
      </c>
      <c r="H32" t="str">
        <f t="shared" si="1"/>
        <v>`     Load thru GCash app</v>
      </c>
      <c r="I32" t="s">
        <v>522</v>
      </c>
      <c r="J32" t="str">
        <f t="shared" si="2"/>
        <v>&lt;G1P&gt;`     Load thru GCash app</v>
      </c>
    </row>
    <row r="33" spans="1:10" x14ac:dyDescent="0.25">
      <c r="A33" s="141">
        <v>2132</v>
      </c>
      <c r="B33" s="142" t="s">
        <v>683</v>
      </c>
      <c r="C33" t="s">
        <v>16</v>
      </c>
      <c r="D33" t="s">
        <v>318</v>
      </c>
      <c r="F33" t="s">
        <v>326</v>
      </c>
      <c r="G33">
        <f t="shared" si="0"/>
        <v>2132</v>
      </c>
      <c r="H33" t="str">
        <f t="shared" si="1"/>
        <v>`     Can share load</v>
      </c>
      <c r="I33" t="s">
        <v>522</v>
      </c>
      <c r="J33" t="str">
        <f t="shared" si="2"/>
        <v>&lt;G1P&gt;`     Can share load</v>
      </c>
    </row>
    <row r="34" spans="1:10" x14ac:dyDescent="0.25">
      <c r="A34" s="145">
        <v>2139</v>
      </c>
      <c r="B34" s="146" t="s">
        <v>684</v>
      </c>
      <c r="C34" t="s">
        <v>16</v>
      </c>
      <c r="D34" t="s">
        <v>318</v>
      </c>
      <c r="F34" t="s">
        <v>326</v>
      </c>
      <c r="G34">
        <f t="shared" ref="G34:G65" si="3">IF(A34="","",A34)</f>
        <v>2139</v>
      </c>
      <c r="H34" t="str">
        <f t="shared" ref="H34:H65" si="4">_xlfn.CONCAT(D34,SUBSTITUTE(B34,"""","`"""),E34)</f>
        <v>`     Group loading can be done with GCash</v>
      </c>
      <c r="I34" t="s">
        <v>522</v>
      </c>
      <c r="J34" t="str">
        <f t="shared" ref="J34:J65" si="5">_xlfn.CONCAT(I34,H34)</f>
        <v>&lt;G1P&gt;`     Group loading can be done with GCash</v>
      </c>
    </row>
    <row r="35" spans="1:10" x14ac:dyDescent="0.25">
      <c r="A35" s="145">
        <v>2144</v>
      </c>
      <c r="B35" s="146" t="s">
        <v>781</v>
      </c>
      <c r="C35" t="s">
        <v>16</v>
      </c>
      <c r="D35" t="s">
        <v>318</v>
      </c>
      <c r="F35" t="s">
        <v>326</v>
      </c>
      <c r="G35">
        <f t="shared" si="3"/>
        <v>2144</v>
      </c>
      <c r="H35" t="str">
        <f t="shared" si="4"/>
        <v>`     You won't get hung up on watching anymore</v>
      </c>
      <c r="I35" t="s">
        <v>522</v>
      </c>
      <c r="J35" t="str">
        <f t="shared" si="5"/>
        <v>&lt;G1P&gt;`     You won't get hung up on watching anymore</v>
      </c>
    </row>
    <row r="36" spans="1:10" x14ac:dyDescent="0.25">
      <c r="A36" s="145">
        <v>2145</v>
      </c>
      <c r="B36" s="146" t="s">
        <v>782</v>
      </c>
      <c r="C36" t="s">
        <v>16</v>
      </c>
      <c r="D36" t="s">
        <v>318</v>
      </c>
      <c r="F36" t="s">
        <v>326</v>
      </c>
      <c r="G36">
        <f t="shared" si="3"/>
        <v>2145</v>
      </c>
      <c r="H36" t="str">
        <f t="shared" si="4"/>
        <v>`     So you won't run out of load</v>
      </c>
      <c r="I36" t="s">
        <v>521</v>
      </c>
      <c r="J36" t="str">
        <f t="shared" si="5"/>
        <v>&lt;G2E&gt;&lt;G1P&gt;`     So you won't run out of load</v>
      </c>
    </row>
    <row r="37" spans="1:10" ht="15.75" x14ac:dyDescent="0.25">
      <c r="A37" s="33" t="s">
        <v>802</v>
      </c>
      <c r="B37" s="139" t="s">
        <v>686</v>
      </c>
      <c r="C37" t="s">
        <v>6</v>
      </c>
      <c r="D37" t="s">
        <v>323</v>
      </c>
      <c r="E37" t="s">
        <v>322</v>
      </c>
      <c r="F37" t="s">
        <v>327</v>
      </c>
      <c r="G37" t="str">
        <f t="shared" si="3"/>
        <v>2020+2021+2022+2102+2103</v>
      </c>
      <c r="H37" t="str">
        <f t="shared" si="4"/>
        <v>`PLAYING ONLINE GAMES (NET)&lt;Q&gt;</v>
      </c>
      <c r="J37" t="str">
        <f t="shared" si="5"/>
        <v>`PLAYING ONLINE GAMES (NET)&lt;Q&gt;</v>
      </c>
    </row>
    <row r="38" spans="1:10" x14ac:dyDescent="0.25">
      <c r="A38" s="33">
        <v>2020</v>
      </c>
      <c r="B38" s="140" t="s">
        <v>687</v>
      </c>
      <c r="C38" t="s">
        <v>16</v>
      </c>
      <c r="D38" t="s">
        <v>318</v>
      </c>
      <c r="F38" t="s">
        <v>326</v>
      </c>
      <c r="G38">
        <f t="shared" si="3"/>
        <v>2020</v>
      </c>
      <c r="H38" t="str">
        <f t="shared" si="4"/>
        <v>`     Can play games using GCash load</v>
      </c>
      <c r="I38" t="s">
        <v>520</v>
      </c>
      <c r="J38" t="str">
        <f t="shared" si="5"/>
        <v>&lt;G2B&gt;&lt;G1P&gt;`     Can play games using GCash load</v>
      </c>
    </row>
    <row r="39" spans="1:10" x14ac:dyDescent="0.25">
      <c r="A39" s="33">
        <v>2021</v>
      </c>
      <c r="B39" s="140" t="s">
        <v>688</v>
      </c>
      <c r="C39" t="s">
        <v>16</v>
      </c>
      <c r="D39" t="s">
        <v>318</v>
      </c>
      <c r="F39" t="s">
        <v>326</v>
      </c>
      <c r="G39">
        <f t="shared" si="3"/>
        <v>2021</v>
      </c>
      <c r="H39" t="str">
        <f t="shared" si="4"/>
        <v>`     Games</v>
      </c>
      <c r="I39" t="s">
        <v>522</v>
      </c>
      <c r="J39" t="str">
        <f t="shared" si="5"/>
        <v>&lt;G1P&gt;`     Games</v>
      </c>
    </row>
    <row r="40" spans="1:10" x14ac:dyDescent="0.25">
      <c r="A40" s="33">
        <v>2022</v>
      </c>
      <c r="B40" s="140" t="s">
        <v>689</v>
      </c>
      <c r="C40" t="s">
        <v>16</v>
      </c>
      <c r="D40" t="s">
        <v>318</v>
      </c>
      <c r="F40" t="s">
        <v>326</v>
      </c>
      <c r="G40">
        <f t="shared" si="3"/>
        <v>2022</v>
      </c>
      <c r="H40" t="str">
        <f t="shared" si="4"/>
        <v>`     Can be used for gaming</v>
      </c>
      <c r="I40" t="s">
        <v>522</v>
      </c>
      <c r="J40" t="str">
        <f t="shared" si="5"/>
        <v>&lt;G1P&gt;`     Can be used for gaming</v>
      </c>
    </row>
    <row r="41" spans="1:10" x14ac:dyDescent="0.25">
      <c r="A41" s="141">
        <v>2102</v>
      </c>
      <c r="B41" s="142" t="s">
        <v>690</v>
      </c>
      <c r="C41" t="s">
        <v>16</v>
      </c>
      <c r="D41" t="s">
        <v>318</v>
      </c>
      <c r="F41" t="s">
        <v>326</v>
      </c>
      <c r="G41">
        <f t="shared" si="3"/>
        <v>2102</v>
      </c>
      <c r="H41" t="str">
        <f t="shared" si="4"/>
        <v>`     GCash load streaming</v>
      </c>
      <c r="I41" t="s">
        <v>522</v>
      </c>
      <c r="J41" t="str">
        <f t="shared" si="5"/>
        <v>&lt;G1P&gt;`     GCash load streaming</v>
      </c>
    </row>
    <row r="42" spans="1:10" x14ac:dyDescent="0.25">
      <c r="A42" s="141">
        <v>2103</v>
      </c>
      <c r="B42" s="142" t="s">
        <v>691</v>
      </c>
      <c r="C42" t="s">
        <v>16</v>
      </c>
      <c r="D42" t="s">
        <v>318</v>
      </c>
      <c r="F42" t="s">
        <v>326</v>
      </c>
      <c r="G42">
        <f t="shared" si="3"/>
        <v>2103</v>
      </c>
      <c r="H42" t="str">
        <f t="shared" si="4"/>
        <v>`     GCash load gaming</v>
      </c>
      <c r="I42" t="s">
        <v>521</v>
      </c>
      <c r="J42" t="str">
        <f t="shared" si="5"/>
        <v>&lt;G2E&gt;&lt;G1P&gt;`     GCash load gaming</v>
      </c>
    </row>
    <row r="43" spans="1:10" ht="15.75" x14ac:dyDescent="0.25">
      <c r="A43" s="33" t="s">
        <v>1479</v>
      </c>
      <c r="B43" s="139" t="s">
        <v>692</v>
      </c>
      <c r="C43" t="s">
        <v>6</v>
      </c>
      <c r="D43" t="s">
        <v>323</v>
      </c>
      <c r="E43" t="s">
        <v>322</v>
      </c>
      <c r="F43" t="s">
        <v>327</v>
      </c>
      <c r="G43" t="str">
        <f t="shared" si="3"/>
        <v>2023+2095+2142</v>
      </c>
      <c r="H43" t="str">
        <f t="shared" si="4"/>
        <v>`LOAD SERVICE FEE (NET)&lt;Q&gt;</v>
      </c>
      <c r="J43" t="str">
        <f t="shared" si="5"/>
        <v>`LOAD SERVICE FEE (NET)&lt;Q&gt;</v>
      </c>
    </row>
    <row r="44" spans="1:10" x14ac:dyDescent="0.25">
      <c r="A44" s="33">
        <v>2023</v>
      </c>
      <c r="B44" s="140" t="s">
        <v>693</v>
      </c>
      <c r="C44" t="s">
        <v>16</v>
      </c>
      <c r="D44" t="s">
        <v>318</v>
      </c>
      <c r="F44" t="s">
        <v>326</v>
      </c>
      <c r="G44">
        <f t="shared" si="3"/>
        <v>2023</v>
      </c>
      <c r="H44" t="str">
        <f t="shared" si="4"/>
        <v>`     Load via GCash because there is no fee</v>
      </c>
      <c r="I44" t="s">
        <v>520</v>
      </c>
      <c r="J44" t="str">
        <f t="shared" si="5"/>
        <v>&lt;G2B&gt;&lt;G1P&gt;`     Load via GCash because there is no fee</v>
      </c>
    </row>
    <row r="45" spans="1:10" x14ac:dyDescent="0.25">
      <c r="A45" s="141">
        <v>2095</v>
      </c>
      <c r="B45" s="142" t="s">
        <v>694</v>
      </c>
      <c r="C45" t="s">
        <v>16</v>
      </c>
      <c r="D45" t="s">
        <v>318</v>
      </c>
      <c r="F45" t="s">
        <v>326</v>
      </c>
      <c r="G45">
        <f t="shared" si="3"/>
        <v>2095</v>
      </c>
      <c r="H45" t="str">
        <f t="shared" si="4"/>
        <v>`     No high transaction fee</v>
      </c>
      <c r="I45" t="s">
        <v>522</v>
      </c>
      <c r="J45" t="str">
        <f t="shared" si="5"/>
        <v>&lt;G1P&gt;`     No high transaction fee</v>
      </c>
    </row>
    <row r="46" spans="1:10" x14ac:dyDescent="0.25">
      <c r="A46" s="145">
        <v>2142</v>
      </c>
      <c r="B46" s="146" t="s">
        <v>780</v>
      </c>
      <c r="C46" t="s">
        <v>16</v>
      </c>
      <c r="D46" t="s">
        <v>318</v>
      </c>
      <c r="F46" t="s">
        <v>326</v>
      </c>
      <c r="G46">
        <f t="shared" si="3"/>
        <v>2142</v>
      </c>
      <c r="H46" t="str">
        <f t="shared" si="4"/>
        <v>`     It's cheaper to buy load in GCash</v>
      </c>
      <c r="I46" t="s">
        <v>521</v>
      </c>
      <c r="J46" t="str">
        <f t="shared" si="5"/>
        <v>&lt;G2E&gt;&lt;G1P&gt;`     It's cheaper to buy load in GCash</v>
      </c>
    </row>
    <row r="47" spans="1:10" ht="15.75" x14ac:dyDescent="0.25">
      <c r="A47" s="33" t="s">
        <v>804</v>
      </c>
      <c r="B47" s="139" t="s">
        <v>695</v>
      </c>
      <c r="C47" t="s">
        <v>6</v>
      </c>
      <c r="D47" t="s">
        <v>323</v>
      </c>
      <c r="E47" t="s">
        <v>322</v>
      </c>
      <c r="F47" t="s">
        <v>327</v>
      </c>
      <c r="G47" t="str">
        <f t="shared" si="3"/>
        <v>2024+2025+2026+2027+2028+2044+2045+2046+2047+2049+2051+2060+2100+2101+2113+2120+2123+2124+2128+2129+2130</v>
      </c>
      <c r="H47" t="str">
        <f t="shared" si="4"/>
        <v>`BONDING OF FRIENDS/FAMILY  (NET)&lt;Q&gt;</v>
      </c>
      <c r="J47" t="str">
        <f t="shared" si="5"/>
        <v>`BONDING OF FRIENDS/FAMILY  (NET)&lt;Q&gt;</v>
      </c>
    </row>
    <row r="48" spans="1:10" x14ac:dyDescent="0.25">
      <c r="A48" s="33">
        <v>2024</v>
      </c>
      <c r="B48" s="140" t="s">
        <v>696</v>
      </c>
      <c r="C48" t="s">
        <v>16</v>
      </c>
      <c r="D48" t="s">
        <v>318</v>
      </c>
      <c r="F48" t="s">
        <v>326</v>
      </c>
      <c r="G48">
        <f t="shared" si="3"/>
        <v>2024</v>
      </c>
      <c r="H48" t="str">
        <f t="shared" si="4"/>
        <v>`     Group friends</v>
      </c>
      <c r="I48" t="s">
        <v>520</v>
      </c>
      <c r="J48" t="str">
        <f t="shared" si="5"/>
        <v>&lt;G2B&gt;&lt;G1P&gt;`     Group friends</v>
      </c>
    </row>
    <row r="49" spans="1:10" x14ac:dyDescent="0.25">
      <c r="A49" s="33">
        <v>2025</v>
      </c>
      <c r="B49" s="140" t="s">
        <v>697</v>
      </c>
      <c r="C49" t="s">
        <v>16</v>
      </c>
      <c r="D49" t="s">
        <v>318</v>
      </c>
      <c r="F49" t="s">
        <v>326</v>
      </c>
      <c r="G49">
        <f t="shared" si="3"/>
        <v>2025</v>
      </c>
      <c r="H49" t="str">
        <f t="shared" si="4"/>
        <v>`     A lot of people like it</v>
      </c>
      <c r="I49" t="s">
        <v>522</v>
      </c>
      <c r="J49" t="str">
        <f t="shared" si="5"/>
        <v>&lt;G1P&gt;`     A lot of people like it</v>
      </c>
    </row>
    <row r="50" spans="1:10" x14ac:dyDescent="0.25">
      <c r="A50" s="33">
        <v>2026</v>
      </c>
      <c r="B50" s="140" t="s">
        <v>698</v>
      </c>
      <c r="C50" t="s">
        <v>16</v>
      </c>
      <c r="D50" t="s">
        <v>318</v>
      </c>
      <c r="F50" t="s">
        <v>326</v>
      </c>
      <c r="G50">
        <f t="shared" si="3"/>
        <v>2026</v>
      </c>
      <c r="H50" t="str">
        <f t="shared" si="4"/>
        <v>`     Bonding of friends with GCash</v>
      </c>
      <c r="I50" t="s">
        <v>522</v>
      </c>
      <c r="J50" t="str">
        <f t="shared" si="5"/>
        <v>&lt;G1P&gt;`     Bonding of friends with GCash</v>
      </c>
    </row>
    <row r="51" spans="1:10" x14ac:dyDescent="0.25">
      <c r="A51" s="33">
        <v>2027</v>
      </c>
      <c r="B51" s="140" t="s">
        <v>699</v>
      </c>
      <c r="C51" t="s">
        <v>16</v>
      </c>
      <c r="D51" t="s">
        <v>318</v>
      </c>
      <c r="F51" t="s">
        <v>326</v>
      </c>
      <c r="G51">
        <f t="shared" si="3"/>
        <v>2027</v>
      </c>
      <c r="H51" t="str">
        <f t="shared" si="4"/>
        <v>`     Because of GCash there is happy bonding</v>
      </c>
      <c r="I51" t="s">
        <v>522</v>
      </c>
      <c r="J51" t="str">
        <f t="shared" si="5"/>
        <v>&lt;G1P&gt;`     Because of GCash there is happy bonding</v>
      </c>
    </row>
    <row r="52" spans="1:10" x14ac:dyDescent="0.25">
      <c r="A52" s="33">
        <v>2028</v>
      </c>
      <c r="B52" s="140" t="s">
        <v>700</v>
      </c>
      <c r="C52" t="s">
        <v>16</v>
      </c>
      <c r="D52" t="s">
        <v>318</v>
      </c>
      <c r="F52" t="s">
        <v>326</v>
      </c>
      <c r="G52">
        <f t="shared" si="3"/>
        <v>2028</v>
      </c>
      <c r="H52" t="str">
        <f t="shared" si="4"/>
        <v>`     They are happy with what they are doing</v>
      </c>
      <c r="I52" t="s">
        <v>522</v>
      </c>
      <c r="J52" t="str">
        <f t="shared" si="5"/>
        <v>&lt;G1P&gt;`     They are happy with what they are doing</v>
      </c>
    </row>
    <row r="53" spans="1:10" x14ac:dyDescent="0.25">
      <c r="A53" s="33">
        <v>2044</v>
      </c>
      <c r="B53" s="140" t="s">
        <v>701</v>
      </c>
      <c r="C53" t="s">
        <v>16</v>
      </c>
      <c r="D53" t="s">
        <v>318</v>
      </c>
      <c r="F53" t="s">
        <v>326</v>
      </c>
      <c r="G53">
        <f t="shared" si="3"/>
        <v>2044</v>
      </c>
      <c r="H53" t="str">
        <f t="shared" si="4"/>
        <v>`     Family is together and online games</v>
      </c>
      <c r="I53" t="s">
        <v>522</v>
      </c>
      <c r="J53" t="str">
        <f t="shared" si="5"/>
        <v>&lt;G1P&gt;`     Family is together and online games</v>
      </c>
    </row>
    <row r="54" spans="1:10" x14ac:dyDescent="0.25">
      <c r="A54" s="141">
        <v>2045</v>
      </c>
      <c r="B54" s="142" t="s">
        <v>702</v>
      </c>
      <c r="C54" t="s">
        <v>16</v>
      </c>
      <c r="D54" t="s">
        <v>318</v>
      </c>
      <c r="F54" t="s">
        <v>326</v>
      </c>
      <c r="G54">
        <f t="shared" si="3"/>
        <v>2045</v>
      </c>
      <c r="H54" t="str">
        <f t="shared" si="4"/>
        <v>`     Bonding</v>
      </c>
      <c r="I54" t="s">
        <v>522</v>
      </c>
      <c r="J54" t="str">
        <f t="shared" si="5"/>
        <v>&lt;G1P&gt;`     Bonding</v>
      </c>
    </row>
    <row r="55" spans="1:10" x14ac:dyDescent="0.25">
      <c r="A55" s="141">
        <v>2046</v>
      </c>
      <c r="B55" s="142" t="s">
        <v>703</v>
      </c>
      <c r="C55" t="s">
        <v>16</v>
      </c>
      <c r="D55" t="s">
        <v>318</v>
      </c>
      <c r="F55" t="s">
        <v>326</v>
      </c>
      <c r="G55">
        <f t="shared" si="3"/>
        <v>2046</v>
      </c>
      <c r="H55" t="str">
        <f t="shared" si="4"/>
        <v>`     Bonding with friends</v>
      </c>
      <c r="I55" t="s">
        <v>522</v>
      </c>
      <c r="J55" t="str">
        <f t="shared" si="5"/>
        <v>&lt;G1P&gt;`     Bonding with friends</v>
      </c>
    </row>
    <row r="56" spans="1:10" x14ac:dyDescent="0.25">
      <c r="A56" s="141">
        <v>2047</v>
      </c>
      <c r="B56" s="142" t="s">
        <v>704</v>
      </c>
      <c r="C56" t="s">
        <v>16</v>
      </c>
      <c r="D56" t="s">
        <v>318</v>
      </c>
      <c r="F56" t="s">
        <v>326</v>
      </c>
      <c r="G56">
        <f t="shared" si="3"/>
        <v>2047</v>
      </c>
      <c r="H56" t="str">
        <f t="shared" si="4"/>
        <v>`     Complete family</v>
      </c>
      <c r="I56" t="s">
        <v>522</v>
      </c>
      <c r="J56" t="str">
        <f t="shared" si="5"/>
        <v>&lt;G1P&gt;`     Complete family</v>
      </c>
    </row>
    <row r="57" spans="1:10" x14ac:dyDescent="0.25">
      <c r="A57" s="141">
        <v>2049</v>
      </c>
      <c r="B57" s="142" t="s">
        <v>705</v>
      </c>
      <c r="C57" t="s">
        <v>16</v>
      </c>
      <c r="D57" t="s">
        <v>318</v>
      </c>
      <c r="F57" t="s">
        <v>326</v>
      </c>
      <c r="G57">
        <f t="shared" si="3"/>
        <v>2049</v>
      </c>
      <c r="H57" t="str">
        <f t="shared" si="4"/>
        <v>`     Can connect family anywhere</v>
      </c>
      <c r="I57" t="s">
        <v>522</v>
      </c>
      <c r="J57" t="str">
        <f t="shared" si="5"/>
        <v>&lt;G1P&gt;`     Can connect family anywhere</v>
      </c>
    </row>
    <row r="58" spans="1:10" x14ac:dyDescent="0.25">
      <c r="A58" s="141">
        <v>2051</v>
      </c>
      <c r="B58" s="142" t="s">
        <v>706</v>
      </c>
      <c r="C58" t="s">
        <v>16</v>
      </c>
      <c r="D58" t="s">
        <v>318</v>
      </c>
      <c r="F58" t="s">
        <v>326</v>
      </c>
      <c r="G58">
        <f t="shared" si="3"/>
        <v>2051</v>
      </c>
      <c r="H58" t="str">
        <f t="shared" si="4"/>
        <v>`     Group hug</v>
      </c>
      <c r="I58" t="s">
        <v>522</v>
      </c>
      <c r="J58" t="str">
        <f t="shared" si="5"/>
        <v>&lt;G1P&gt;`     Group hug</v>
      </c>
    </row>
    <row r="59" spans="1:10" x14ac:dyDescent="0.25">
      <c r="A59" s="141">
        <v>2060</v>
      </c>
      <c r="B59" s="142" t="s">
        <v>707</v>
      </c>
      <c r="C59" t="s">
        <v>16</v>
      </c>
      <c r="D59" t="s">
        <v>318</v>
      </c>
      <c r="F59" t="s">
        <v>326</v>
      </c>
      <c r="G59">
        <f t="shared" si="3"/>
        <v>2060</v>
      </c>
      <c r="H59" t="str">
        <f t="shared" si="4"/>
        <v>`     Family can communicate using load form GCash</v>
      </c>
      <c r="I59" t="s">
        <v>522</v>
      </c>
      <c r="J59" t="str">
        <f t="shared" si="5"/>
        <v>&lt;G1P&gt;`     Family can communicate using load form GCash</v>
      </c>
    </row>
    <row r="60" spans="1:10" x14ac:dyDescent="0.25">
      <c r="A60" s="141">
        <v>2100</v>
      </c>
      <c r="B60" s="142" t="s">
        <v>708</v>
      </c>
      <c r="C60" t="s">
        <v>16</v>
      </c>
      <c r="D60" t="s">
        <v>318</v>
      </c>
      <c r="F60" t="s">
        <v>326</v>
      </c>
      <c r="G60">
        <f t="shared" si="3"/>
        <v>2100</v>
      </c>
      <c r="H60" t="str">
        <f t="shared" si="4"/>
        <v>`     Group of friends on a vehicle receiving GCash</v>
      </c>
      <c r="I60" t="s">
        <v>522</v>
      </c>
      <c r="J60" t="str">
        <f t="shared" si="5"/>
        <v>&lt;G1P&gt;`     Group of friends on a vehicle receiving GCash</v>
      </c>
    </row>
    <row r="61" spans="1:10" x14ac:dyDescent="0.25">
      <c r="A61" s="141">
        <v>2101</v>
      </c>
      <c r="B61" s="142" t="s">
        <v>709</v>
      </c>
      <c r="C61" t="s">
        <v>16</v>
      </c>
      <c r="D61" t="s">
        <v>318</v>
      </c>
      <c r="F61" t="s">
        <v>326</v>
      </c>
      <c r="G61">
        <f t="shared" si="3"/>
        <v>2101</v>
      </c>
      <c r="H61" t="str">
        <f t="shared" si="4"/>
        <v>`     Friends sharing load thru GCash</v>
      </c>
      <c r="I61" t="s">
        <v>522</v>
      </c>
      <c r="J61" t="str">
        <f t="shared" si="5"/>
        <v>&lt;G1P&gt;`     Friends sharing load thru GCash</v>
      </c>
    </row>
    <row r="62" spans="1:10" x14ac:dyDescent="0.25">
      <c r="A62" s="141">
        <v>2113</v>
      </c>
      <c r="B62" s="142" t="s">
        <v>710</v>
      </c>
      <c r="C62" t="s">
        <v>16</v>
      </c>
      <c r="D62" t="s">
        <v>318</v>
      </c>
      <c r="F62" t="s">
        <v>326</v>
      </c>
      <c r="G62">
        <f t="shared" si="3"/>
        <v>2113</v>
      </c>
      <c r="H62" t="str">
        <f t="shared" si="4"/>
        <v>`     Having a good relationship</v>
      </c>
      <c r="I62" t="s">
        <v>522</v>
      </c>
      <c r="J62" t="str">
        <f t="shared" si="5"/>
        <v>&lt;G1P&gt;`     Having a good relationship</v>
      </c>
    </row>
    <row r="63" spans="1:10" x14ac:dyDescent="0.25">
      <c r="A63" s="141">
        <v>2120</v>
      </c>
      <c r="B63" s="142" t="s">
        <v>711</v>
      </c>
      <c r="C63" t="s">
        <v>16</v>
      </c>
      <c r="D63" t="s">
        <v>318</v>
      </c>
      <c r="F63" t="s">
        <v>326</v>
      </c>
      <c r="G63">
        <f t="shared" si="3"/>
        <v>2120</v>
      </c>
      <c r="H63" t="str">
        <f t="shared" si="4"/>
        <v>`     Enjoying</v>
      </c>
      <c r="I63" t="s">
        <v>522</v>
      </c>
      <c r="J63" t="str">
        <f t="shared" si="5"/>
        <v>&lt;G1P&gt;`     Enjoying</v>
      </c>
    </row>
    <row r="64" spans="1:10" x14ac:dyDescent="0.25">
      <c r="A64" s="141">
        <v>2123</v>
      </c>
      <c r="B64" s="142" t="s">
        <v>712</v>
      </c>
      <c r="C64" t="s">
        <v>16</v>
      </c>
      <c r="D64" t="s">
        <v>318</v>
      </c>
      <c r="F64" t="s">
        <v>326</v>
      </c>
      <c r="G64">
        <f t="shared" si="3"/>
        <v>2123</v>
      </c>
      <c r="H64" t="str">
        <f t="shared" si="4"/>
        <v>`     Group of friends in online</v>
      </c>
      <c r="I64" t="s">
        <v>522</v>
      </c>
      <c r="J64" t="str">
        <f t="shared" si="5"/>
        <v>&lt;G1P&gt;`     Group of friends in online</v>
      </c>
    </row>
    <row r="65" spans="1:10" x14ac:dyDescent="0.25">
      <c r="A65" s="141">
        <v>2124</v>
      </c>
      <c r="B65" s="142" t="s">
        <v>713</v>
      </c>
      <c r="C65" t="s">
        <v>16</v>
      </c>
      <c r="D65" t="s">
        <v>318</v>
      </c>
      <c r="F65" t="s">
        <v>326</v>
      </c>
      <c r="G65">
        <f t="shared" si="3"/>
        <v>2124</v>
      </c>
      <c r="H65" t="str">
        <f t="shared" si="4"/>
        <v>`     United</v>
      </c>
      <c r="I65" t="s">
        <v>522</v>
      </c>
      <c r="J65" t="str">
        <f t="shared" si="5"/>
        <v>&lt;G1P&gt;`     United</v>
      </c>
    </row>
    <row r="66" spans="1:10" x14ac:dyDescent="0.25">
      <c r="A66" s="141">
        <v>2128</v>
      </c>
      <c r="B66" s="142" t="s">
        <v>714</v>
      </c>
      <c r="C66" t="s">
        <v>16</v>
      </c>
      <c r="D66" t="s">
        <v>318</v>
      </c>
      <c r="F66" t="s">
        <v>326</v>
      </c>
      <c r="G66">
        <f t="shared" ref="G66:G97" si="6">IF(A66="","",A66)</f>
        <v>2128</v>
      </c>
      <c r="H66" t="str">
        <f t="shared" ref="H66:H97" si="7">_xlfn.CONCAT(D66,SUBSTITUTE(B66,"""","`"""),E66)</f>
        <v>`     GCash is for the whole family</v>
      </c>
      <c r="I66" t="s">
        <v>522</v>
      </c>
      <c r="J66" t="str">
        <f t="shared" ref="J66:J97" si="8">_xlfn.CONCAT(I66,H66)</f>
        <v>&lt;G1P&gt;`     GCash is for the whole family</v>
      </c>
    </row>
    <row r="67" spans="1:10" x14ac:dyDescent="0.25">
      <c r="A67" s="141">
        <v>2129</v>
      </c>
      <c r="B67" s="142" t="s">
        <v>715</v>
      </c>
      <c r="C67" t="s">
        <v>16</v>
      </c>
      <c r="D67" t="s">
        <v>318</v>
      </c>
      <c r="F67" t="s">
        <v>326</v>
      </c>
      <c r="G67">
        <f t="shared" si="6"/>
        <v>2129</v>
      </c>
      <c r="H67" t="str">
        <f t="shared" si="7"/>
        <v>`     For the family</v>
      </c>
      <c r="I67" t="s">
        <v>522</v>
      </c>
      <c r="J67" t="str">
        <f t="shared" si="8"/>
        <v>&lt;G1P&gt;`     For the family</v>
      </c>
    </row>
    <row r="68" spans="1:10" x14ac:dyDescent="0.25">
      <c r="A68" s="141">
        <v>2130</v>
      </c>
      <c r="B68" s="142" t="s">
        <v>716</v>
      </c>
      <c r="C68" t="s">
        <v>16</v>
      </c>
      <c r="D68" t="s">
        <v>318</v>
      </c>
      <c r="F68" t="s">
        <v>326</v>
      </c>
      <c r="G68">
        <f t="shared" si="6"/>
        <v>2130</v>
      </c>
      <c r="H68" t="str">
        <f t="shared" si="7"/>
        <v>`     Bonding of family with GCash</v>
      </c>
      <c r="I68" t="s">
        <v>521</v>
      </c>
      <c r="J68" t="str">
        <f t="shared" si="8"/>
        <v>&lt;G2E&gt;&lt;G1P&gt;`     Bonding of family with GCash</v>
      </c>
    </row>
    <row r="69" spans="1:10" ht="15.75" x14ac:dyDescent="0.25">
      <c r="A69" s="33" t="s">
        <v>805</v>
      </c>
      <c r="B69" s="139" t="s">
        <v>717</v>
      </c>
      <c r="C69" t="s">
        <v>6</v>
      </c>
      <c r="D69" t="s">
        <v>323</v>
      </c>
      <c r="E69" t="s">
        <v>322</v>
      </c>
      <c r="F69" t="s">
        <v>327</v>
      </c>
      <c r="G69" t="str">
        <f t="shared" si="6"/>
        <v>2065+2066+2122+2143</v>
      </c>
      <c r="H69" t="str">
        <f t="shared" si="7"/>
        <v>`CONNECTING WITH FAMILY/FRIENDS THROUGH GCASH (NET)&lt;Q&gt;</v>
      </c>
      <c r="J69" t="str">
        <f t="shared" si="8"/>
        <v>`CONNECTING WITH FAMILY/FRIENDS THROUGH GCASH (NET)&lt;Q&gt;</v>
      </c>
    </row>
    <row r="70" spans="1:10" x14ac:dyDescent="0.25">
      <c r="A70" s="141">
        <v>2065</v>
      </c>
      <c r="B70" s="142" t="s">
        <v>718</v>
      </c>
      <c r="C70" t="s">
        <v>16</v>
      </c>
      <c r="D70" t="s">
        <v>318</v>
      </c>
      <c r="F70" t="s">
        <v>326</v>
      </c>
      <c r="G70">
        <f t="shared" si="6"/>
        <v>2065</v>
      </c>
      <c r="H70" t="str">
        <f t="shared" si="7"/>
        <v>`     Connecting family thru GCash</v>
      </c>
      <c r="I70" t="s">
        <v>520</v>
      </c>
      <c r="J70" t="str">
        <f t="shared" si="8"/>
        <v>&lt;G2B&gt;&lt;G1P&gt;`     Connecting family thru GCash</v>
      </c>
    </row>
    <row r="71" spans="1:10" x14ac:dyDescent="0.25">
      <c r="A71" s="141">
        <v>2066</v>
      </c>
      <c r="B71" s="142" t="s">
        <v>719</v>
      </c>
      <c r="C71" t="s">
        <v>16</v>
      </c>
      <c r="D71" t="s">
        <v>318</v>
      </c>
      <c r="F71" t="s">
        <v>326</v>
      </c>
      <c r="G71">
        <f t="shared" si="6"/>
        <v>2066</v>
      </c>
      <c r="H71" t="str">
        <f t="shared" si="7"/>
        <v>`     Connecting thru GCash</v>
      </c>
      <c r="I71" t="s">
        <v>522</v>
      </c>
      <c r="J71" t="str">
        <f t="shared" si="8"/>
        <v>&lt;G1P&gt;`     Connecting thru GCash</v>
      </c>
    </row>
    <row r="72" spans="1:10" x14ac:dyDescent="0.25">
      <c r="A72" s="141">
        <v>2122</v>
      </c>
      <c r="B72" s="142" t="s">
        <v>720</v>
      </c>
      <c r="C72" t="s">
        <v>16</v>
      </c>
      <c r="D72" t="s">
        <v>318</v>
      </c>
      <c r="F72" t="s">
        <v>326</v>
      </c>
      <c r="G72">
        <f t="shared" si="6"/>
        <v>2122</v>
      </c>
      <c r="H72" t="str">
        <f t="shared" si="7"/>
        <v>`     Even families are far from each other they are still connected</v>
      </c>
      <c r="I72" t="s">
        <v>522</v>
      </c>
      <c r="J72" t="str">
        <f t="shared" si="8"/>
        <v>&lt;G1P&gt;`     Even families are far from each other they are still connected</v>
      </c>
    </row>
    <row r="73" spans="1:10" x14ac:dyDescent="0.25">
      <c r="A73" s="145">
        <v>2143</v>
      </c>
      <c r="B73" s="146" t="s">
        <v>721</v>
      </c>
      <c r="C73" t="s">
        <v>16</v>
      </c>
      <c r="D73" t="s">
        <v>318</v>
      </c>
      <c r="F73" t="s">
        <v>326</v>
      </c>
      <c r="G73">
        <f t="shared" si="6"/>
        <v>2143</v>
      </c>
      <c r="H73" t="str">
        <f t="shared" si="7"/>
        <v>`     Easy connection to friends</v>
      </c>
      <c r="I73" t="s">
        <v>521</v>
      </c>
      <c r="J73" t="str">
        <f t="shared" si="8"/>
        <v>&lt;G2E&gt;&lt;G1P&gt;`     Easy connection to friends</v>
      </c>
    </row>
    <row r="74" spans="1:10" ht="15.75" x14ac:dyDescent="0.25">
      <c r="A74" s="33" t="s">
        <v>806</v>
      </c>
      <c r="B74" s="139" t="s">
        <v>400</v>
      </c>
      <c r="C74" t="s">
        <v>6</v>
      </c>
      <c r="D74" t="s">
        <v>323</v>
      </c>
      <c r="E74" t="s">
        <v>322</v>
      </c>
      <c r="F74" t="s">
        <v>327</v>
      </c>
      <c r="G74" t="str">
        <f t="shared" si="6"/>
        <v>2029+2048+2125</v>
      </c>
      <c r="H74" t="str">
        <f t="shared" si="7"/>
        <v>`PAYMENT (NET)&lt;Q&gt;</v>
      </c>
      <c r="J74" t="str">
        <f t="shared" si="8"/>
        <v>`PAYMENT (NET)&lt;Q&gt;</v>
      </c>
    </row>
    <row r="75" spans="1:10" x14ac:dyDescent="0.25">
      <c r="A75" s="33">
        <v>2029</v>
      </c>
      <c r="B75" s="140" t="s">
        <v>722</v>
      </c>
      <c r="C75" t="s">
        <v>16</v>
      </c>
      <c r="D75" t="s">
        <v>318</v>
      </c>
      <c r="F75" t="s">
        <v>326</v>
      </c>
      <c r="G75">
        <f t="shared" si="6"/>
        <v>2029</v>
      </c>
      <c r="H75" t="str">
        <f t="shared" si="7"/>
        <v>`     Easy to pay</v>
      </c>
      <c r="I75" t="s">
        <v>520</v>
      </c>
      <c r="J75" t="str">
        <f t="shared" si="8"/>
        <v>&lt;G2B&gt;&lt;G1P&gt;`     Easy to pay</v>
      </c>
    </row>
    <row r="76" spans="1:10" x14ac:dyDescent="0.25">
      <c r="A76" s="141">
        <v>2048</v>
      </c>
      <c r="B76" s="142" t="s">
        <v>723</v>
      </c>
      <c r="C76" t="s">
        <v>16</v>
      </c>
      <c r="D76" t="s">
        <v>318</v>
      </c>
      <c r="F76" t="s">
        <v>326</v>
      </c>
      <c r="G76">
        <f t="shared" si="6"/>
        <v>2048</v>
      </c>
      <c r="H76" t="str">
        <f t="shared" si="7"/>
        <v>`     Pay bills</v>
      </c>
      <c r="I76" t="s">
        <v>522</v>
      </c>
      <c r="J76" t="str">
        <f t="shared" si="8"/>
        <v>&lt;G1P&gt;`     Pay bills</v>
      </c>
    </row>
    <row r="77" spans="1:10" x14ac:dyDescent="0.25">
      <c r="A77" s="141">
        <v>2125</v>
      </c>
      <c r="B77" s="142" t="s">
        <v>724</v>
      </c>
      <c r="C77" t="s">
        <v>16</v>
      </c>
      <c r="D77" t="s">
        <v>318</v>
      </c>
      <c r="F77" t="s">
        <v>326</v>
      </c>
      <c r="G77">
        <f t="shared" si="6"/>
        <v>2125</v>
      </c>
      <c r="H77" t="str">
        <f t="shared" si="7"/>
        <v>`     Showing how easy payments are on GCash</v>
      </c>
      <c r="I77" t="s">
        <v>521</v>
      </c>
      <c r="J77" t="str">
        <f t="shared" si="8"/>
        <v>&lt;G2E&gt;&lt;G1P&gt;`     Showing how easy payments are on GCash</v>
      </c>
    </row>
    <row r="78" spans="1:10" ht="15.75" x14ac:dyDescent="0.25">
      <c r="A78" s="33" t="s">
        <v>1480</v>
      </c>
      <c r="B78" s="139" t="s">
        <v>384</v>
      </c>
      <c r="C78" t="s">
        <v>6</v>
      </c>
      <c r="D78" t="s">
        <v>323</v>
      </c>
      <c r="E78" t="s">
        <v>322</v>
      </c>
      <c r="F78" t="s">
        <v>327</v>
      </c>
      <c r="G78" t="str">
        <f t="shared" si="6"/>
        <v>2030+2031+2064+2067+2069+2070+2071+2072+2073+2094+2141</v>
      </c>
      <c r="H78" t="str">
        <f t="shared" si="7"/>
        <v>`CONVENIENCE (NET)&lt;Q&gt;</v>
      </c>
      <c r="J78" t="str">
        <f t="shared" si="8"/>
        <v>`CONVENIENCE (NET)&lt;Q&gt;</v>
      </c>
    </row>
    <row r="79" spans="1:10" x14ac:dyDescent="0.25">
      <c r="A79" s="33">
        <v>2030</v>
      </c>
      <c r="B79" s="140" t="s">
        <v>725</v>
      </c>
      <c r="C79" t="s">
        <v>16</v>
      </c>
      <c r="D79" t="s">
        <v>318</v>
      </c>
      <c r="F79" t="s">
        <v>326</v>
      </c>
      <c r="G79">
        <f t="shared" si="6"/>
        <v>2030</v>
      </c>
      <c r="H79" t="str">
        <f t="shared" si="7"/>
        <v>`     More convenient</v>
      </c>
      <c r="I79" t="s">
        <v>520</v>
      </c>
      <c r="J79" t="str">
        <f t="shared" si="8"/>
        <v>&lt;G2B&gt;&lt;G1P&gt;`     More convenient</v>
      </c>
    </row>
    <row r="80" spans="1:10" x14ac:dyDescent="0.25">
      <c r="A80" s="33">
        <v>2031</v>
      </c>
      <c r="B80" s="140" t="s">
        <v>726</v>
      </c>
      <c r="C80" t="s">
        <v>16</v>
      </c>
      <c r="D80" t="s">
        <v>318</v>
      </c>
      <c r="F80" t="s">
        <v>326</v>
      </c>
      <c r="G80">
        <f t="shared" si="6"/>
        <v>2031</v>
      </c>
      <c r="H80" t="str">
        <f t="shared" si="7"/>
        <v>`     Convenient since no need to go to the stores to buy load</v>
      </c>
      <c r="I80" t="s">
        <v>522</v>
      </c>
      <c r="J80" t="str">
        <f t="shared" si="8"/>
        <v>&lt;G1P&gt;`     Convenient since no need to go to the stores to buy load</v>
      </c>
    </row>
    <row r="81" spans="1:10" x14ac:dyDescent="0.25">
      <c r="A81" s="141">
        <v>2064</v>
      </c>
      <c r="B81" s="142" t="s">
        <v>727</v>
      </c>
      <c r="C81" t="s">
        <v>16</v>
      </c>
      <c r="D81" t="s">
        <v>318</v>
      </c>
      <c r="F81" t="s">
        <v>326</v>
      </c>
      <c r="G81">
        <f t="shared" si="6"/>
        <v>2064</v>
      </c>
      <c r="H81" t="str">
        <f t="shared" si="7"/>
        <v>`     Comfortable to load on GCash</v>
      </c>
      <c r="I81" t="s">
        <v>522</v>
      </c>
      <c r="J81" t="str">
        <f t="shared" si="8"/>
        <v>&lt;G1P&gt;`     Comfortable to load on GCash</v>
      </c>
    </row>
    <row r="82" spans="1:10" x14ac:dyDescent="0.25">
      <c r="A82" s="141">
        <v>2067</v>
      </c>
      <c r="B82" s="142" t="s">
        <v>385</v>
      </c>
      <c r="C82" t="s">
        <v>16</v>
      </c>
      <c r="D82" t="s">
        <v>318</v>
      </c>
      <c r="F82" t="s">
        <v>326</v>
      </c>
      <c r="G82">
        <f t="shared" si="6"/>
        <v>2067</v>
      </c>
      <c r="H82" t="str">
        <f t="shared" si="7"/>
        <v>`     Convenient</v>
      </c>
      <c r="I82" t="s">
        <v>522</v>
      </c>
      <c r="J82" t="str">
        <f t="shared" si="8"/>
        <v>&lt;G1P&gt;`     Convenient</v>
      </c>
    </row>
    <row r="83" spans="1:10" x14ac:dyDescent="0.25">
      <c r="A83" s="141">
        <v>2069</v>
      </c>
      <c r="B83" s="142" t="s">
        <v>728</v>
      </c>
      <c r="C83" t="s">
        <v>16</v>
      </c>
      <c r="D83" t="s">
        <v>318</v>
      </c>
      <c r="F83" t="s">
        <v>326</v>
      </c>
      <c r="G83">
        <f t="shared" si="6"/>
        <v>2069</v>
      </c>
      <c r="H83" t="str">
        <f t="shared" si="7"/>
        <v>`     Apps is convenient to use</v>
      </c>
      <c r="I83" t="s">
        <v>522</v>
      </c>
      <c r="J83" t="str">
        <f t="shared" si="8"/>
        <v>&lt;G1P&gt;`     Apps is convenient to use</v>
      </c>
    </row>
    <row r="84" spans="1:10" x14ac:dyDescent="0.25">
      <c r="A84" s="141">
        <v>2070</v>
      </c>
      <c r="B84" s="142" t="s">
        <v>729</v>
      </c>
      <c r="C84" t="s">
        <v>16</v>
      </c>
      <c r="D84" t="s">
        <v>318</v>
      </c>
      <c r="F84" t="s">
        <v>326</v>
      </c>
      <c r="G84">
        <f t="shared" si="6"/>
        <v>2070</v>
      </c>
      <c r="H84" t="str">
        <f t="shared" si="7"/>
        <v>`     Convenient to load online</v>
      </c>
      <c r="I84" t="s">
        <v>522</v>
      </c>
      <c r="J84" t="str">
        <f t="shared" si="8"/>
        <v>&lt;G1P&gt;`     Convenient to load online</v>
      </c>
    </row>
    <row r="85" spans="1:10" x14ac:dyDescent="0.25">
      <c r="A85" s="141">
        <v>2071</v>
      </c>
      <c r="B85" s="142" t="s">
        <v>730</v>
      </c>
      <c r="C85" t="s">
        <v>16</v>
      </c>
      <c r="D85" t="s">
        <v>318</v>
      </c>
      <c r="F85" t="s">
        <v>326</v>
      </c>
      <c r="G85">
        <f t="shared" si="6"/>
        <v>2071</v>
      </c>
      <c r="H85" t="str">
        <f t="shared" si="7"/>
        <v>`     Convenient to use</v>
      </c>
      <c r="I85" t="s">
        <v>522</v>
      </c>
      <c r="J85" t="str">
        <f t="shared" si="8"/>
        <v>&lt;G1P&gt;`     Convenient to use</v>
      </c>
    </row>
    <row r="86" spans="1:10" x14ac:dyDescent="0.25">
      <c r="A86" s="141">
        <v>2072</v>
      </c>
      <c r="B86" s="142" t="s">
        <v>731</v>
      </c>
      <c r="C86" t="s">
        <v>16</v>
      </c>
      <c r="D86" t="s">
        <v>318</v>
      </c>
      <c r="F86" t="s">
        <v>326</v>
      </c>
      <c r="G86">
        <f t="shared" si="6"/>
        <v>2072</v>
      </c>
      <c r="H86" t="str">
        <f t="shared" si="7"/>
        <v>`     User-friendly</v>
      </c>
      <c r="I86" t="s">
        <v>522</v>
      </c>
      <c r="J86" t="str">
        <f t="shared" si="8"/>
        <v>&lt;G1P&gt;`     User-friendly</v>
      </c>
    </row>
    <row r="87" spans="1:10" x14ac:dyDescent="0.25">
      <c r="A87" s="141">
        <v>2073</v>
      </c>
      <c r="B87" s="142" t="s">
        <v>732</v>
      </c>
      <c r="C87" t="s">
        <v>16</v>
      </c>
      <c r="D87" t="s">
        <v>318</v>
      </c>
      <c r="F87" t="s">
        <v>326</v>
      </c>
      <c r="G87">
        <f t="shared" si="6"/>
        <v>2073</v>
      </c>
      <c r="H87" t="str">
        <f t="shared" si="7"/>
        <v>`     GCash is convenient to use</v>
      </c>
      <c r="I87" t="s">
        <v>522</v>
      </c>
      <c r="J87" t="str">
        <f t="shared" si="8"/>
        <v>&lt;G1P&gt;`     GCash is convenient to use</v>
      </c>
    </row>
    <row r="88" spans="1:10" x14ac:dyDescent="0.25">
      <c r="A88" s="141">
        <v>2094</v>
      </c>
      <c r="B88" s="142" t="s">
        <v>733</v>
      </c>
      <c r="C88" t="s">
        <v>16</v>
      </c>
      <c r="D88" t="s">
        <v>318</v>
      </c>
      <c r="F88" t="s">
        <v>326</v>
      </c>
      <c r="G88">
        <f t="shared" si="6"/>
        <v>2094</v>
      </c>
      <c r="H88" t="str">
        <f t="shared" si="7"/>
        <v>`     Install GCash app for easy transactions</v>
      </c>
      <c r="I88" t="s">
        <v>522</v>
      </c>
      <c r="J88" t="str">
        <f t="shared" si="8"/>
        <v>&lt;G1P&gt;`     Install GCash app for easy transactions</v>
      </c>
    </row>
    <row r="89" spans="1:10" x14ac:dyDescent="0.25">
      <c r="A89" s="145">
        <v>2141</v>
      </c>
      <c r="B89" s="146" t="s">
        <v>685</v>
      </c>
      <c r="C89" t="s">
        <v>16</v>
      </c>
      <c r="D89" t="s">
        <v>318</v>
      </c>
      <c r="F89" t="s">
        <v>326</v>
      </c>
      <c r="G89">
        <f t="shared" si="6"/>
        <v>2141</v>
      </c>
      <c r="H89" t="str">
        <f t="shared" si="7"/>
        <v>`     Can buy load even you are at home</v>
      </c>
      <c r="I89" t="s">
        <v>521</v>
      </c>
      <c r="J89" t="str">
        <f t="shared" si="8"/>
        <v>&lt;G2E&gt;&lt;G1P&gt;`     Can buy load even you are at home</v>
      </c>
    </row>
    <row r="90" spans="1:10" ht="15.75" x14ac:dyDescent="0.25">
      <c r="A90" s="33" t="s">
        <v>1481</v>
      </c>
      <c r="B90" s="139" t="s">
        <v>734</v>
      </c>
      <c r="C90" t="s">
        <v>6</v>
      </c>
      <c r="D90" t="s">
        <v>323</v>
      </c>
      <c r="E90" t="s">
        <v>322</v>
      </c>
      <c r="F90" t="s">
        <v>327</v>
      </c>
      <c r="G90" t="str">
        <f t="shared" si="6"/>
        <v>2032+2086+2089</v>
      </c>
      <c r="H90" t="str">
        <f t="shared" si="7"/>
        <v>`GCASH IS RELIABLE (NET)&lt;Q&gt;</v>
      </c>
      <c r="J90" t="str">
        <f t="shared" si="8"/>
        <v>`GCASH IS RELIABLE (NET)&lt;Q&gt;</v>
      </c>
    </row>
    <row r="91" spans="1:10" x14ac:dyDescent="0.25">
      <c r="A91" s="33">
        <v>2032</v>
      </c>
      <c r="B91" s="140" t="s">
        <v>735</v>
      </c>
      <c r="C91" t="s">
        <v>16</v>
      </c>
      <c r="D91" t="s">
        <v>318</v>
      </c>
      <c r="F91" t="s">
        <v>326</v>
      </c>
      <c r="G91">
        <f t="shared" si="6"/>
        <v>2032</v>
      </c>
      <c r="H91" t="str">
        <f t="shared" si="7"/>
        <v>`     GCash is reliable</v>
      </c>
      <c r="I91" t="s">
        <v>520</v>
      </c>
      <c r="J91" t="str">
        <f t="shared" si="8"/>
        <v>&lt;G2B&gt;&lt;G1P&gt;`     GCash is reliable</v>
      </c>
    </row>
    <row r="92" spans="1:10" x14ac:dyDescent="0.25">
      <c r="A92" s="141">
        <v>2086</v>
      </c>
      <c r="B92" s="142" t="s">
        <v>736</v>
      </c>
      <c r="C92" t="s">
        <v>16</v>
      </c>
      <c r="D92" t="s">
        <v>318</v>
      </c>
      <c r="F92" t="s">
        <v>326</v>
      </c>
      <c r="G92">
        <f t="shared" si="6"/>
        <v>2086</v>
      </c>
      <c r="H92" t="str">
        <f t="shared" si="7"/>
        <v>`     Reliable anywhere you go</v>
      </c>
      <c r="I92" t="s">
        <v>522</v>
      </c>
      <c r="J92" t="str">
        <f t="shared" si="8"/>
        <v>&lt;G1P&gt;`     Reliable anywhere you go</v>
      </c>
    </row>
    <row r="93" spans="1:10" x14ac:dyDescent="0.25">
      <c r="A93" s="141">
        <v>2089</v>
      </c>
      <c r="B93" s="142" t="s">
        <v>737</v>
      </c>
      <c r="C93" t="s">
        <v>16</v>
      </c>
      <c r="D93" t="s">
        <v>318</v>
      </c>
      <c r="F93" t="s">
        <v>326</v>
      </c>
      <c r="G93">
        <f t="shared" si="6"/>
        <v>2089</v>
      </c>
      <c r="H93" t="str">
        <f t="shared" si="7"/>
        <v>`     GCash is reliable anytime</v>
      </c>
      <c r="I93" t="s">
        <v>521</v>
      </c>
      <c r="J93" t="str">
        <f t="shared" si="8"/>
        <v>&lt;G2E&gt;&lt;G1P&gt;`     GCash is reliable anytime</v>
      </c>
    </row>
    <row r="94" spans="1:10" ht="15.75" x14ac:dyDescent="0.25">
      <c r="A94" s="33" t="s">
        <v>808</v>
      </c>
      <c r="B94" s="139" t="s">
        <v>738</v>
      </c>
      <c r="C94" t="s">
        <v>6</v>
      </c>
      <c r="D94" t="s">
        <v>323</v>
      </c>
      <c r="E94" t="s">
        <v>322</v>
      </c>
      <c r="F94" t="s">
        <v>327</v>
      </c>
      <c r="G94" t="str">
        <f t="shared" si="6"/>
        <v>2033+2034+2035+2036+2005+2058+2068+2074+2075+2091+2105+2106+2098+2140</v>
      </c>
      <c r="H94" t="str">
        <f t="shared" si="7"/>
        <v>`EASE OF USE (NET)&lt;Q&gt;</v>
      </c>
      <c r="J94" t="str">
        <f t="shared" si="8"/>
        <v>`EASE OF USE (NET)&lt;Q&gt;</v>
      </c>
    </row>
    <row r="95" spans="1:10" x14ac:dyDescent="0.25">
      <c r="A95" s="33">
        <v>2033</v>
      </c>
      <c r="B95" s="140" t="s">
        <v>739</v>
      </c>
      <c r="C95" t="s">
        <v>16</v>
      </c>
      <c r="D95" t="s">
        <v>318</v>
      </c>
      <c r="F95" t="s">
        <v>326</v>
      </c>
      <c r="G95">
        <f t="shared" si="6"/>
        <v>2033</v>
      </c>
      <c r="H95" t="str">
        <f t="shared" si="7"/>
        <v xml:space="preserve">`     Easy to use </v>
      </c>
      <c r="I95" t="s">
        <v>520</v>
      </c>
      <c r="J95" t="str">
        <f t="shared" si="8"/>
        <v xml:space="preserve">&lt;G2B&gt;&lt;G1P&gt;`     Easy to use </v>
      </c>
    </row>
    <row r="96" spans="1:10" x14ac:dyDescent="0.25">
      <c r="A96" s="33">
        <v>2034</v>
      </c>
      <c r="B96" s="140" t="s">
        <v>740</v>
      </c>
      <c r="C96" t="s">
        <v>16</v>
      </c>
      <c r="D96" t="s">
        <v>318</v>
      </c>
      <c r="F96" t="s">
        <v>326</v>
      </c>
      <c r="G96">
        <f t="shared" si="6"/>
        <v>2034</v>
      </c>
      <c r="H96" t="str">
        <f t="shared" si="7"/>
        <v>`     Can easily buy load</v>
      </c>
      <c r="I96" t="s">
        <v>522</v>
      </c>
      <c r="J96" t="str">
        <f t="shared" si="8"/>
        <v>&lt;G1P&gt;`     Can easily buy load</v>
      </c>
    </row>
    <row r="97" spans="1:10" x14ac:dyDescent="0.25">
      <c r="A97" s="33">
        <v>2035</v>
      </c>
      <c r="B97" s="140" t="s">
        <v>741</v>
      </c>
      <c r="C97" t="s">
        <v>16</v>
      </c>
      <c r="D97" t="s">
        <v>318</v>
      </c>
      <c r="F97" t="s">
        <v>326</v>
      </c>
      <c r="G97">
        <f t="shared" si="6"/>
        <v>2035</v>
      </c>
      <c r="H97" t="str">
        <f t="shared" si="7"/>
        <v>`     Easy to buy load via GCash</v>
      </c>
      <c r="I97" t="s">
        <v>522</v>
      </c>
      <c r="J97" t="str">
        <f t="shared" si="8"/>
        <v>&lt;G1P&gt;`     Easy to buy load via GCash</v>
      </c>
    </row>
    <row r="98" spans="1:10" x14ac:dyDescent="0.25">
      <c r="A98" s="33">
        <v>2036</v>
      </c>
      <c r="B98" s="140" t="s">
        <v>742</v>
      </c>
      <c r="C98" t="s">
        <v>16</v>
      </c>
      <c r="D98" t="s">
        <v>318</v>
      </c>
      <c r="F98" t="s">
        <v>326</v>
      </c>
      <c r="G98">
        <f t="shared" ref="G98:G129" si="9">IF(A98="","",A98)</f>
        <v>2036</v>
      </c>
      <c r="H98" t="str">
        <f t="shared" ref="H98:H129" si="10">_xlfn.CONCAT(D98,SUBSTITUTE(B98,"""","`"""),E98)</f>
        <v>`     Easy to use for all transactions</v>
      </c>
      <c r="I98" t="s">
        <v>522</v>
      </c>
      <c r="J98" t="str">
        <f t="shared" ref="J98:J129" si="11">_xlfn.CONCAT(I98,H98)</f>
        <v>&lt;G1P&gt;`     Easy to use for all transactions</v>
      </c>
    </row>
    <row r="99" spans="1:10" x14ac:dyDescent="0.25">
      <c r="A99" s="33">
        <v>2005</v>
      </c>
      <c r="B99" s="140" t="s">
        <v>743</v>
      </c>
      <c r="C99" t="s">
        <v>16</v>
      </c>
      <c r="D99" t="s">
        <v>318</v>
      </c>
      <c r="F99" t="s">
        <v>326</v>
      </c>
      <c r="G99">
        <f t="shared" si="9"/>
        <v>2005</v>
      </c>
      <c r="H99" t="str">
        <f t="shared" si="10"/>
        <v>`     Easy transaction</v>
      </c>
      <c r="I99" t="s">
        <v>522</v>
      </c>
      <c r="J99" t="str">
        <f t="shared" si="11"/>
        <v>&lt;G1P&gt;`     Easy transaction</v>
      </c>
    </row>
    <row r="100" spans="1:10" x14ac:dyDescent="0.25">
      <c r="A100" s="141">
        <v>2058</v>
      </c>
      <c r="B100" s="142" t="s">
        <v>744</v>
      </c>
      <c r="C100" t="s">
        <v>16</v>
      </c>
      <c r="D100" t="s">
        <v>318</v>
      </c>
      <c r="F100" t="s">
        <v>326</v>
      </c>
      <c r="G100">
        <f t="shared" si="9"/>
        <v>2058</v>
      </c>
      <c r="H100" t="str">
        <f t="shared" si="10"/>
        <v>`     GCash has easy transactions</v>
      </c>
      <c r="I100" t="s">
        <v>522</v>
      </c>
      <c r="J100" t="str">
        <f t="shared" si="11"/>
        <v>&lt;G1P&gt;`     GCash has easy transactions</v>
      </c>
    </row>
    <row r="101" spans="1:10" x14ac:dyDescent="0.25">
      <c r="A101" s="141">
        <v>2068</v>
      </c>
      <c r="B101" s="142" t="s">
        <v>745</v>
      </c>
      <c r="C101" t="s">
        <v>16</v>
      </c>
      <c r="D101" t="s">
        <v>318</v>
      </c>
      <c r="F101" t="s">
        <v>326</v>
      </c>
      <c r="G101">
        <f t="shared" si="9"/>
        <v>2068</v>
      </c>
      <c r="H101" t="str">
        <f t="shared" si="10"/>
        <v>`     Useful</v>
      </c>
      <c r="I101" t="s">
        <v>522</v>
      </c>
      <c r="J101" t="str">
        <f t="shared" si="11"/>
        <v>&lt;G1P&gt;`     Useful</v>
      </c>
    </row>
    <row r="102" spans="1:10" x14ac:dyDescent="0.25">
      <c r="A102" s="141">
        <v>2074</v>
      </c>
      <c r="B102" s="142" t="s">
        <v>746</v>
      </c>
      <c r="C102" t="s">
        <v>16</v>
      </c>
      <c r="D102" t="s">
        <v>318</v>
      </c>
      <c r="F102" t="s">
        <v>326</v>
      </c>
      <c r="G102">
        <f t="shared" si="9"/>
        <v>2074</v>
      </c>
      <c r="H102" t="str">
        <f t="shared" si="10"/>
        <v>`     Easy</v>
      </c>
      <c r="I102" t="s">
        <v>522</v>
      </c>
      <c r="J102" t="str">
        <f t="shared" si="11"/>
        <v>&lt;G1P&gt;`     Easy</v>
      </c>
    </row>
    <row r="103" spans="1:10" x14ac:dyDescent="0.25">
      <c r="A103" s="141">
        <v>2075</v>
      </c>
      <c r="B103" s="142" t="s">
        <v>747</v>
      </c>
      <c r="C103" t="s">
        <v>16</v>
      </c>
      <c r="D103" t="s">
        <v>318</v>
      </c>
      <c r="F103" t="s">
        <v>326</v>
      </c>
      <c r="G103">
        <f t="shared" si="9"/>
        <v>2075</v>
      </c>
      <c r="H103" t="str">
        <f t="shared" si="10"/>
        <v>`     No hassle</v>
      </c>
      <c r="I103" t="s">
        <v>522</v>
      </c>
      <c r="J103" t="str">
        <f t="shared" si="11"/>
        <v>&lt;G1P&gt;`     No hassle</v>
      </c>
    </row>
    <row r="104" spans="1:10" x14ac:dyDescent="0.25">
      <c r="A104" s="141">
        <v>2091</v>
      </c>
      <c r="B104" s="142" t="s">
        <v>748</v>
      </c>
      <c r="C104" t="s">
        <v>16</v>
      </c>
      <c r="D104" t="s">
        <v>318</v>
      </c>
      <c r="F104" t="s">
        <v>326</v>
      </c>
      <c r="G104">
        <f t="shared" si="9"/>
        <v>2091</v>
      </c>
      <c r="H104" t="str">
        <f t="shared" si="10"/>
        <v>`     Easy to use GCash</v>
      </c>
      <c r="I104" t="s">
        <v>522</v>
      </c>
      <c r="J104" t="str">
        <f t="shared" si="11"/>
        <v>&lt;G1P&gt;`     Easy to use GCash</v>
      </c>
    </row>
    <row r="105" spans="1:10" x14ac:dyDescent="0.25">
      <c r="A105" s="141">
        <v>2105</v>
      </c>
      <c r="B105" s="142" t="s">
        <v>749</v>
      </c>
      <c r="C105" t="s">
        <v>16</v>
      </c>
      <c r="D105" t="s">
        <v>318</v>
      </c>
      <c r="F105" t="s">
        <v>326</v>
      </c>
      <c r="G105">
        <f t="shared" si="9"/>
        <v>2105</v>
      </c>
      <c r="H105" t="str">
        <f t="shared" si="10"/>
        <v>`     Easy to do transactions online</v>
      </c>
      <c r="I105" t="s">
        <v>522</v>
      </c>
      <c r="J105" t="str">
        <f t="shared" si="11"/>
        <v>&lt;G1P&gt;`     Easy to do transactions online</v>
      </c>
    </row>
    <row r="106" spans="1:10" x14ac:dyDescent="0.25">
      <c r="A106" s="141">
        <v>2106</v>
      </c>
      <c r="B106" s="142" t="s">
        <v>750</v>
      </c>
      <c r="C106" t="s">
        <v>16</v>
      </c>
      <c r="D106" t="s">
        <v>318</v>
      </c>
      <c r="F106" t="s">
        <v>326</v>
      </c>
      <c r="G106">
        <f t="shared" si="9"/>
        <v>2106</v>
      </c>
      <c r="H106" t="str">
        <f t="shared" si="10"/>
        <v>`     Can easily do transactions in our lives everyday</v>
      </c>
      <c r="I106" t="s">
        <v>522</v>
      </c>
      <c r="J106" t="str">
        <f t="shared" si="11"/>
        <v>&lt;G1P&gt;`     Can easily do transactions in our lives everyday</v>
      </c>
    </row>
    <row r="107" spans="1:10" x14ac:dyDescent="0.25">
      <c r="A107" s="141">
        <v>2098</v>
      </c>
      <c r="B107" s="142" t="s">
        <v>751</v>
      </c>
      <c r="C107" t="s">
        <v>16</v>
      </c>
      <c r="D107" t="s">
        <v>318</v>
      </c>
      <c r="F107" t="s">
        <v>326</v>
      </c>
      <c r="G107">
        <f t="shared" si="9"/>
        <v>2098</v>
      </c>
      <c r="H107" t="str">
        <f t="shared" si="10"/>
        <v>`     Showing how easy to use</v>
      </c>
      <c r="I107" t="s">
        <v>522</v>
      </c>
      <c r="J107" t="str">
        <f t="shared" si="11"/>
        <v>&lt;G1P&gt;`     Showing how easy to use</v>
      </c>
    </row>
    <row r="108" spans="1:10" x14ac:dyDescent="0.25">
      <c r="A108" s="147">
        <v>2140</v>
      </c>
      <c r="B108" s="146" t="s">
        <v>752</v>
      </c>
      <c r="C108" t="s">
        <v>16</v>
      </c>
      <c r="D108" t="s">
        <v>318</v>
      </c>
      <c r="F108" t="s">
        <v>326</v>
      </c>
      <c r="G108">
        <f t="shared" si="9"/>
        <v>2140</v>
      </c>
      <c r="H108" t="str">
        <f t="shared" si="10"/>
        <v>`     Easy to load</v>
      </c>
      <c r="I108" t="s">
        <v>521</v>
      </c>
      <c r="J108" t="str">
        <f t="shared" si="11"/>
        <v>&lt;G2E&gt;&lt;G1P&gt;`     Easy to load</v>
      </c>
    </row>
    <row r="109" spans="1:10" ht="15.75" x14ac:dyDescent="0.25">
      <c r="A109" s="143" t="s">
        <v>809</v>
      </c>
      <c r="B109" s="139" t="s">
        <v>411</v>
      </c>
      <c r="C109" t="s">
        <v>6</v>
      </c>
      <c r="D109" t="s">
        <v>323</v>
      </c>
      <c r="E109" t="s">
        <v>322</v>
      </c>
      <c r="F109" t="s">
        <v>327</v>
      </c>
      <c r="G109" t="str">
        <f t="shared" si="9"/>
        <v>2009+2010+2011+2014+2012+2053+2062+2077+2109+2138</v>
      </c>
      <c r="H109" t="str">
        <f t="shared" si="10"/>
        <v>`FAST TRANSACTION (NET)&lt;Q&gt;</v>
      </c>
      <c r="J109" t="str">
        <f t="shared" si="11"/>
        <v>`FAST TRANSACTION (NET)&lt;Q&gt;</v>
      </c>
    </row>
    <row r="110" spans="1:10" x14ac:dyDescent="0.25">
      <c r="A110" s="143">
        <v>2009</v>
      </c>
      <c r="B110" s="140" t="s">
        <v>412</v>
      </c>
      <c r="C110" t="s">
        <v>16</v>
      </c>
      <c r="D110" t="s">
        <v>318</v>
      </c>
      <c r="F110" t="s">
        <v>326</v>
      </c>
      <c r="G110">
        <f t="shared" si="9"/>
        <v>2009</v>
      </c>
      <c r="H110" t="str">
        <f t="shared" si="10"/>
        <v>`     Fast transaction</v>
      </c>
      <c r="I110" t="s">
        <v>520</v>
      </c>
      <c r="J110" t="str">
        <f t="shared" si="11"/>
        <v>&lt;G2B&gt;&lt;G1P&gt;`     Fast transaction</v>
      </c>
    </row>
    <row r="111" spans="1:10" x14ac:dyDescent="0.25">
      <c r="A111" s="143">
        <v>2010</v>
      </c>
      <c r="B111" s="140" t="s">
        <v>753</v>
      </c>
      <c r="C111" t="s">
        <v>16</v>
      </c>
      <c r="D111" t="s">
        <v>318</v>
      </c>
      <c r="F111" t="s">
        <v>326</v>
      </c>
      <c r="G111">
        <f t="shared" si="9"/>
        <v>2010</v>
      </c>
      <c r="H111" t="str">
        <f t="shared" si="10"/>
        <v>`     Faster transactions</v>
      </c>
      <c r="I111" t="s">
        <v>522</v>
      </c>
      <c r="J111" t="str">
        <f t="shared" si="11"/>
        <v>&lt;G1P&gt;`     Faster transactions</v>
      </c>
    </row>
    <row r="112" spans="1:10" x14ac:dyDescent="0.25">
      <c r="A112" s="143" t="s">
        <v>754</v>
      </c>
      <c r="B112" s="140" t="s">
        <v>755</v>
      </c>
      <c r="C112" t="s">
        <v>16</v>
      </c>
      <c r="D112" t="s">
        <v>318</v>
      </c>
      <c r="F112" t="s">
        <v>326</v>
      </c>
      <c r="G112" t="str">
        <f t="shared" si="9"/>
        <v>2011+2014</v>
      </c>
      <c r="H112" t="str">
        <f t="shared" si="10"/>
        <v>`     Quick to load via GCash</v>
      </c>
      <c r="I112" t="s">
        <v>522</v>
      </c>
      <c r="J112" t="str">
        <f t="shared" si="11"/>
        <v>&lt;G1P&gt;`     Quick to load via GCash</v>
      </c>
    </row>
    <row r="113" spans="1:10" x14ac:dyDescent="0.25">
      <c r="A113" s="143">
        <v>2012</v>
      </c>
      <c r="B113" s="140" t="s">
        <v>756</v>
      </c>
      <c r="C113" t="s">
        <v>16</v>
      </c>
      <c r="D113" t="s">
        <v>318</v>
      </c>
      <c r="F113" t="s">
        <v>326</v>
      </c>
      <c r="G113">
        <f t="shared" si="9"/>
        <v>2012</v>
      </c>
      <c r="H113" t="str">
        <f t="shared" si="10"/>
        <v>`     Faster transactions in GCash</v>
      </c>
      <c r="I113" t="s">
        <v>522</v>
      </c>
      <c r="J113" t="str">
        <f t="shared" si="11"/>
        <v>&lt;G1P&gt;`     Faster transactions in GCash</v>
      </c>
    </row>
    <row r="114" spans="1:10" x14ac:dyDescent="0.25">
      <c r="A114" s="144">
        <v>2053</v>
      </c>
      <c r="B114" s="142" t="s">
        <v>757</v>
      </c>
      <c r="C114" t="s">
        <v>16</v>
      </c>
      <c r="D114" t="s">
        <v>318</v>
      </c>
      <c r="F114" t="s">
        <v>326</v>
      </c>
      <c r="G114">
        <f t="shared" si="9"/>
        <v>2053</v>
      </c>
      <c r="H114" t="str">
        <f t="shared" si="10"/>
        <v>`     Fast transactions to buy load</v>
      </c>
      <c r="I114" t="s">
        <v>522</v>
      </c>
      <c r="J114" t="str">
        <f t="shared" si="11"/>
        <v>&lt;G1P&gt;`     Fast transactions to buy load</v>
      </c>
    </row>
    <row r="115" spans="1:10" x14ac:dyDescent="0.25">
      <c r="A115" s="144">
        <v>2062</v>
      </c>
      <c r="B115" s="142" t="s">
        <v>758</v>
      </c>
      <c r="C115" t="s">
        <v>16</v>
      </c>
      <c r="D115" t="s">
        <v>318</v>
      </c>
      <c r="F115" t="s">
        <v>326</v>
      </c>
      <c r="G115">
        <f t="shared" si="9"/>
        <v>2062</v>
      </c>
      <c r="H115" t="str">
        <f t="shared" si="10"/>
        <v>`     Can buy load faster</v>
      </c>
      <c r="I115" t="s">
        <v>522</v>
      </c>
      <c r="J115" t="str">
        <f t="shared" si="11"/>
        <v>&lt;G1P&gt;`     Can buy load faster</v>
      </c>
    </row>
    <row r="116" spans="1:10" x14ac:dyDescent="0.25">
      <c r="A116" s="144">
        <v>2077</v>
      </c>
      <c r="B116" s="142" t="s">
        <v>759</v>
      </c>
      <c r="C116" t="s">
        <v>16</v>
      </c>
      <c r="D116" t="s">
        <v>318</v>
      </c>
      <c r="F116" t="s">
        <v>326</v>
      </c>
      <c r="G116">
        <f t="shared" si="9"/>
        <v>2077</v>
      </c>
      <c r="H116" t="str">
        <f t="shared" si="10"/>
        <v>`     Fast to any transactions</v>
      </c>
      <c r="I116" t="s">
        <v>522</v>
      </c>
      <c r="J116" t="str">
        <f t="shared" si="11"/>
        <v>&lt;G1P&gt;`     Fast to any transactions</v>
      </c>
    </row>
    <row r="117" spans="1:10" x14ac:dyDescent="0.25">
      <c r="A117" s="144">
        <v>2109</v>
      </c>
      <c r="B117" s="142" t="s">
        <v>760</v>
      </c>
      <c r="C117" t="s">
        <v>16</v>
      </c>
      <c r="D117" t="s">
        <v>318</v>
      </c>
      <c r="F117" t="s">
        <v>326</v>
      </c>
      <c r="G117">
        <f t="shared" si="9"/>
        <v>2109</v>
      </c>
      <c r="H117" t="str">
        <f t="shared" si="10"/>
        <v>`     Can rely for fast transactions in case of emergency</v>
      </c>
      <c r="I117" t="s">
        <v>522</v>
      </c>
      <c r="J117" t="str">
        <f t="shared" si="11"/>
        <v>&lt;G1P&gt;`     Can rely for fast transactions in case of emergency</v>
      </c>
    </row>
    <row r="118" spans="1:10" x14ac:dyDescent="0.25">
      <c r="A118" s="145">
        <v>2138</v>
      </c>
      <c r="B118" s="146" t="s">
        <v>761</v>
      </c>
      <c r="C118" t="s">
        <v>16</v>
      </c>
      <c r="D118" t="s">
        <v>318</v>
      </c>
      <c r="F118" t="s">
        <v>326</v>
      </c>
      <c r="G118">
        <f t="shared" si="9"/>
        <v>2138</v>
      </c>
      <c r="H118" t="str">
        <f t="shared" si="10"/>
        <v>`     Fast sending money using GCash</v>
      </c>
      <c r="I118" t="s">
        <v>521</v>
      </c>
      <c r="J118" t="str">
        <f t="shared" si="11"/>
        <v>&lt;G2E&gt;&lt;G1P&gt;`     Fast sending money using GCash</v>
      </c>
    </row>
    <row r="119" spans="1:10" ht="15.75" x14ac:dyDescent="0.25">
      <c r="A119" s="33" t="s">
        <v>810</v>
      </c>
      <c r="B119" s="139" t="s">
        <v>456</v>
      </c>
      <c r="C119" t="s">
        <v>6</v>
      </c>
      <c r="D119" t="s">
        <v>323</v>
      </c>
      <c r="E119" t="s">
        <v>322</v>
      </c>
      <c r="F119" t="s">
        <v>327</v>
      </c>
      <c r="G119" t="str">
        <f t="shared" si="9"/>
        <v>2037+2083</v>
      </c>
      <c r="H119" t="str">
        <f t="shared" si="10"/>
        <v>`INCLUSIVITY (NET)&lt;Q&gt;</v>
      </c>
      <c r="J119" t="str">
        <f t="shared" si="11"/>
        <v>`INCLUSIVITY (NET)&lt;Q&gt;</v>
      </c>
    </row>
    <row r="120" spans="1:10" x14ac:dyDescent="0.25">
      <c r="A120" s="33">
        <v>2037</v>
      </c>
      <c r="B120" s="140" t="s">
        <v>762</v>
      </c>
      <c r="C120" t="s">
        <v>16</v>
      </c>
      <c r="D120" t="s">
        <v>318</v>
      </c>
      <c r="F120" t="s">
        <v>326</v>
      </c>
      <c r="G120">
        <f t="shared" si="9"/>
        <v>2037</v>
      </c>
      <c r="H120" t="str">
        <f t="shared" si="10"/>
        <v>`     For everyone</v>
      </c>
      <c r="I120" t="s">
        <v>520</v>
      </c>
      <c r="J120" t="str">
        <f t="shared" si="11"/>
        <v>&lt;G2B&gt;&lt;G1P&gt;`     For everyone</v>
      </c>
    </row>
    <row r="121" spans="1:10" x14ac:dyDescent="0.25">
      <c r="A121" s="141">
        <v>2083</v>
      </c>
      <c r="B121" s="142" t="s">
        <v>763</v>
      </c>
      <c r="C121" t="s">
        <v>16</v>
      </c>
      <c r="D121" t="s">
        <v>318</v>
      </c>
      <c r="F121" t="s">
        <v>326</v>
      </c>
      <c r="G121">
        <f t="shared" si="9"/>
        <v>2083</v>
      </c>
      <c r="H121" t="str">
        <f t="shared" si="10"/>
        <v>`     Can load using any network</v>
      </c>
      <c r="I121" t="s">
        <v>521</v>
      </c>
      <c r="J121" t="str">
        <f t="shared" si="11"/>
        <v>&lt;G2E&gt;&lt;G1P&gt;`     Can load using any network</v>
      </c>
    </row>
    <row r="122" spans="1:10" ht="15.75" x14ac:dyDescent="0.25">
      <c r="A122" s="33" t="s">
        <v>811</v>
      </c>
      <c r="B122" s="139" t="s">
        <v>764</v>
      </c>
      <c r="C122" t="s">
        <v>6</v>
      </c>
      <c r="D122" t="s">
        <v>323</v>
      </c>
      <c r="E122" t="s">
        <v>322</v>
      </c>
      <c r="F122" t="s">
        <v>327</v>
      </c>
      <c r="G122" t="str">
        <f t="shared" si="9"/>
        <v>2038+2039+2040+2041+2099+2121+2135+2050</v>
      </c>
      <c r="H122" t="str">
        <f t="shared" si="10"/>
        <v>`GCASH PROMOTION (NET)&lt;Q&gt;</v>
      </c>
      <c r="J122" t="str">
        <f t="shared" si="11"/>
        <v>`GCASH PROMOTION (NET)&lt;Q&gt;</v>
      </c>
    </row>
    <row r="123" spans="1:10" x14ac:dyDescent="0.25">
      <c r="A123" s="33">
        <v>2038</v>
      </c>
      <c r="B123" s="140" t="s">
        <v>765</v>
      </c>
      <c r="C123" t="s">
        <v>16</v>
      </c>
      <c r="D123" t="s">
        <v>318</v>
      </c>
      <c r="F123" t="s">
        <v>326</v>
      </c>
      <c r="G123">
        <f t="shared" si="9"/>
        <v>2038</v>
      </c>
      <c r="H123" t="str">
        <f t="shared" si="10"/>
        <v>`     For awareness to use GCash</v>
      </c>
      <c r="I123" t="s">
        <v>520</v>
      </c>
      <c r="J123" t="str">
        <f t="shared" si="11"/>
        <v>&lt;G2B&gt;&lt;G1P&gt;`     For awareness to use GCash</v>
      </c>
    </row>
    <row r="124" spans="1:10" x14ac:dyDescent="0.25">
      <c r="A124" s="33">
        <v>2039</v>
      </c>
      <c r="B124" s="140" t="s">
        <v>766</v>
      </c>
      <c r="C124" t="s">
        <v>16</v>
      </c>
      <c r="D124" t="s">
        <v>318</v>
      </c>
      <c r="F124" t="s">
        <v>326</v>
      </c>
      <c r="G124">
        <f t="shared" si="9"/>
        <v>2039</v>
      </c>
      <c r="H124" t="str">
        <f t="shared" si="10"/>
        <v>`     GCash features</v>
      </c>
      <c r="I124" t="s">
        <v>522</v>
      </c>
      <c r="J124" t="str">
        <f t="shared" si="11"/>
        <v>&lt;G1P&gt;`     GCash features</v>
      </c>
    </row>
    <row r="125" spans="1:10" x14ac:dyDescent="0.25">
      <c r="A125" s="33">
        <v>2040</v>
      </c>
      <c r="B125" s="140" t="s">
        <v>767</v>
      </c>
      <c r="C125" t="s">
        <v>16</v>
      </c>
      <c r="D125" t="s">
        <v>318</v>
      </c>
      <c r="F125" t="s">
        <v>326</v>
      </c>
      <c r="G125">
        <f t="shared" si="9"/>
        <v>2040</v>
      </c>
      <c r="H125" t="str">
        <f t="shared" si="10"/>
        <v>`     Encourage to use GCash</v>
      </c>
      <c r="I125" t="s">
        <v>522</v>
      </c>
      <c r="J125" t="str">
        <f t="shared" si="11"/>
        <v>&lt;G1P&gt;`     Encourage to use GCash</v>
      </c>
    </row>
    <row r="126" spans="1:10" x14ac:dyDescent="0.25">
      <c r="A126" s="33">
        <v>2041</v>
      </c>
      <c r="B126" s="140" t="s">
        <v>768</v>
      </c>
      <c r="C126" t="s">
        <v>16</v>
      </c>
      <c r="D126" t="s">
        <v>318</v>
      </c>
      <c r="F126" t="s">
        <v>326</v>
      </c>
      <c r="G126">
        <f t="shared" si="9"/>
        <v>2041</v>
      </c>
      <c r="H126" t="str">
        <f t="shared" si="10"/>
        <v>`     To understand more about GCash and how accessible it is</v>
      </c>
      <c r="I126" t="s">
        <v>522</v>
      </c>
      <c r="J126" t="str">
        <f t="shared" si="11"/>
        <v>&lt;G1P&gt;`     To understand more about GCash and how accessible it is</v>
      </c>
    </row>
    <row r="127" spans="1:10" x14ac:dyDescent="0.25">
      <c r="A127" s="141">
        <v>2099</v>
      </c>
      <c r="B127" s="142" t="s">
        <v>769</v>
      </c>
      <c r="C127" t="s">
        <v>16</v>
      </c>
      <c r="D127" t="s">
        <v>318</v>
      </c>
      <c r="F127" t="s">
        <v>326</v>
      </c>
      <c r="G127">
        <f t="shared" si="9"/>
        <v>2099</v>
      </c>
      <c r="H127" t="str">
        <f t="shared" si="10"/>
        <v>`     Nice promo ad</v>
      </c>
      <c r="I127" t="s">
        <v>522</v>
      </c>
      <c r="J127" t="str">
        <f t="shared" si="11"/>
        <v>&lt;G1P&gt;`     Nice promo ad</v>
      </c>
    </row>
    <row r="128" spans="1:10" x14ac:dyDescent="0.25">
      <c r="A128" s="141">
        <v>2121</v>
      </c>
      <c r="B128" s="142" t="s">
        <v>770</v>
      </c>
      <c r="C128" t="s">
        <v>16</v>
      </c>
      <c r="D128" t="s">
        <v>318</v>
      </c>
      <c r="F128" t="s">
        <v>326</v>
      </c>
      <c r="G128">
        <f t="shared" si="9"/>
        <v>2121</v>
      </c>
      <c r="H128" t="str">
        <f t="shared" si="10"/>
        <v>`     Excited on GCash offer</v>
      </c>
      <c r="I128" t="s">
        <v>522</v>
      </c>
      <c r="J128" t="str">
        <f t="shared" si="11"/>
        <v>&lt;G1P&gt;`     Excited on GCash offer</v>
      </c>
    </row>
    <row r="129" spans="1:10" x14ac:dyDescent="0.25">
      <c r="A129" s="141">
        <v>2135</v>
      </c>
      <c r="B129" s="142" t="s">
        <v>771</v>
      </c>
      <c r="C129" t="s">
        <v>16</v>
      </c>
      <c r="D129" t="s">
        <v>318</v>
      </c>
      <c r="F129" t="s">
        <v>326</v>
      </c>
      <c r="G129">
        <f t="shared" si="9"/>
        <v>2135</v>
      </c>
      <c r="H129" t="str">
        <f t="shared" si="10"/>
        <v>`     Use GCash wisely</v>
      </c>
      <c r="I129" t="s">
        <v>522</v>
      </c>
      <c r="J129" t="str">
        <f t="shared" si="11"/>
        <v>&lt;G1P&gt;`     Use GCash wisely</v>
      </c>
    </row>
    <row r="130" spans="1:10" x14ac:dyDescent="0.25">
      <c r="A130" s="141">
        <v>2050</v>
      </c>
      <c r="B130" s="142" t="s">
        <v>470</v>
      </c>
      <c r="C130" t="s">
        <v>16</v>
      </c>
      <c r="D130" t="s">
        <v>318</v>
      </c>
      <c r="F130" t="s">
        <v>326</v>
      </c>
      <c r="G130">
        <f t="shared" ref="G130:G160" si="12">IF(A130="","",A130)</f>
        <v>2050</v>
      </c>
      <c r="H130" t="str">
        <f t="shared" ref="H130:H160" si="13">_xlfn.CONCAT(D130,SUBSTITUTE(B130,"""","`"""),E130)</f>
        <v>`     About GCash</v>
      </c>
      <c r="I130" t="s">
        <v>521</v>
      </c>
      <c r="J130" t="str">
        <f t="shared" ref="J130:J160" si="14">_xlfn.CONCAT(I130,H130)</f>
        <v>&lt;G2E&gt;&lt;G1P&gt;`     About GCash</v>
      </c>
    </row>
    <row r="131" spans="1:10" ht="15.75" x14ac:dyDescent="0.25">
      <c r="A131" s="33">
        <v>2059</v>
      </c>
      <c r="B131" s="139" t="s">
        <v>772</v>
      </c>
      <c r="C131" t="s">
        <v>6</v>
      </c>
      <c r="D131" t="s">
        <v>323</v>
      </c>
      <c r="E131" t="s">
        <v>322</v>
      </c>
      <c r="F131" t="s">
        <v>327</v>
      </c>
      <c r="G131">
        <f t="shared" si="12"/>
        <v>2059</v>
      </c>
      <c r="H131" t="str">
        <f t="shared" si="13"/>
        <v>`TRUST (NET)&lt;Q&gt;</v>
      </c>
      <c r="J131" t="str">
        <f t="shared" si="14"/>
        <v>`TRUST (NET)&lt;Q&gt;</v>
      </c>
    </row>
    <row r="132" spans="1:10" x14ac:dyDescent="0.25">
      <c r="A132" s="141">
        <v>2059</v>
      </c>
      <c r="B132" s="142" t="s">
        <v>773</v>
      </c>
      <c r="C132" t="s">
        <v>16</v>
      </c>
      <c r="D132" t="s">
        <v>318</v>
      </c>
      <c r="F132" t="s">
        <v>326</v>
      </c>
      <c r="G132">
        <f t="shared" si="12"/>
        <v>2059</v>
      </c>
      <c r="H132" t="str">
        <f t="shared" si="13"/>
        <v>`     GCash can be trusted</v>
      </c>
      <c r="I132" t="s">
        <v>522</v>
      </c>
      <c r="J132" t="str">
        <f t="shared" si="14"/>
        <v>&lt;G1P&gt;`     GCash can be trusted</v>
      </c>
    </row>
    <row r="133" spans="1:10" ht="15.75" x14ac:dyDescent="0.25">
      <c r="A133" s="33">
        <v>2133</v>
      </c>
      <c r="B133" s="139" t="s">
        <v>415</v>
      </c>
      <c r="C133" t="s">
        <v>6</v>
      </c>
      <c r="D133" t="s">
        <v>323</v>
      </c>
      <c r="E133" t="s">
        <v>322</v>
      </c>
      <c r="F133" t="s">
        <v>327</v>
      </c>
      <c r="G133">
        <f t="shared" si="12"/>
        <v>2133</v>
      </c>
      <c r="H133" t="str">
        <f t="shared" si="13"/>
        <v>`SAFETY AND SECURITY (NET)&lt;Q&gt;</v>
      </c>
      <c r="J133" t="str">
        <f t="shared" si="14"/>
        <v>`SAFETY AND SECURITY (NET)&lt;Q&gt;</v>
      </c>
    </row>
    <row r="134" spans="1:10" x14ac:dyDescent="0.25">
      <c r="A134" s="141">
        <v>2133</v>
      </c>
      <c r="B134" s="142" t="s">
        <v>774</v>
      </c>
      <c r="C134" t="s">
        <v>16</v>
      </c>
      <c r="D134" t="s">
        <v>318</v>
      </c>
      <c r="F134" t="s">
        <v>326</v>
      </c>
      <c r="G134">
        <f t="shared" si="12"/>
        <v>2133</v>
      </c>
      <c r="H134" t="str">
        <f t="shared" si="13"/>
        <v>`     Money is safe in GCash</v>
      </c>
      <c r="I134" t="s">
        <v>522</v>
      </c>
      <c r="J134" t="str">
        <f t="shared" si="14"/>
        <v>&lt;G1P&gt;`     Money is safe in GCash</v>
      </c>
    </row>
    <row r="135" spans="1:10" ht="15.75" x14ac:dyDescent="0.25">
      <c r="A135" s="33">
        <v>2137</v>
      </c>
      <c r="B135" s="139" t="s">
        <v>1477</v>
      </c>
      <c r="C135" t="s">
        <v>6</v>
      </c>
      <c r="D135" t="s">
        <v>323</v>
      </c>
      <c r="E135" t="s">
        <v>322</v>
      </c>
      <c r="F135" t="s">
        <v>327</v>
      </c>
      <c r="G135">
        <f t="shared" si="12"/>
        <v>2137</v>
      </c>
      <c r="H135" t="str">
        <f t="shared" si="13"/>
        <v>`CASHLESS (NET)&lt;Q&gt;</v>
      </c>
      <c r="I135" t="s">
        <v>519</v>
      </c>
      <c r="J135" t="str">
        <f t="shared" si="14"/>
        <v>&lt;G1E&gt;`CASHLESS (NET)&lt;Q&gt;</v>
      </c>
    </row>
    <row r="136" spans="1:10" x14ac:dyDescent="0.25">
      <c r="A136" s="145">
        <v>2137</v>
      </c>
      <c r="B136" s="146" t="s">
        <v>779</v>
      </c>
      <c r="C136" t="s">
        <v>16</v>
      </c>
      <c r="D136" t="s">
        <v>318</v>
      </c>
      <c r="F136" t="s">
        <v>326</v>
      </c>
      <c r="G136">
        <f t="shared" si="12"/>
        <v>2137</v>
      </c>
      <c r="H136" t="str">
        <f t="shared" si="13"/>
        <v>`     No need cash</v>
      </c>
      <c r="I136" t="s">
        <v>522</v>
      </c>
      <c r="J136" t="str">
        <f t="shared" si="14"/>
        <v>&lt;G1P&gt;`     No need cash</v>
      </c>
    </row>
    <row r="137" spans="1:10" ht="15.75" x14ac:dyDescent="0.25">
      <c r="A137" s="33" t="s">
        <v>1482</v>
      </c>
      <c r="B137" s="139" t="s">
        <v>332</v>
      </c>
      <c r="C137" t="s">
        <v>6</v>
      </c>
      <c r="D137" t="s">
        <v>323</v>
      </c>
      <c r="E137" t="s">
        <v>322</v>
      </c>
      <c r="F137" t="s">
        <v>327</v>
      </c>
      <c r="G137" t="str">
        <f t="shared" si="12"/>
        <v>2043+2114+2134+2136+2146</v>
      </c>
      <c r="H137" t="str">
        <f t="shared" si="13"/>
        <v>`OTHERS (NET)&lt;Q&gt;</v>
      </c>
      <c r="J137" t="str">
        <f t="shared" si="14"/>
        <v>`OTHERS (NET)&lt;Q&gt;</v>
      </c>
    </row>
    <row r="138" spans="1:10" x14ac:dyDescent="0.25">
      <c r="A138" s="33">
        <v>2043</v>
      </c>
      <c r="B138" s="140" t="s">
        <v>775</v>
      </c>
      <c r="C138" t="s">
        <v>16</v>
      </c>
      <c r="D138" t="s">
        <v>318</v>
      </c>
      <c r="F138" t="s">
        <v>326</v>
      </c>
      <c r="G138">
        <f t="shared" si="12"/>
        <v>2043</v>
      </c>
      <c r="H138" t="str">
        <f t="shared" si="13"/>
        <v>`     Can save money</v>
      </c>
      <c r="I138" t="s">
        <v>520</v>
      </c>
      <c r="J138" t="str">
        <f t="shared" si="14"/>
        <v>&lt;G2B&gt;&lt;G1P&gt;`     Can save money</v>
      </c>
    </row>
    <row r="139" spans="1:10" x14ac:dyDescent="0.25">
      <c r="A139" s="141">
        <v>2114</v>
      </c>
      <c r="B139" s="142" t="s">
        <v>776</v>
      </c>
      <c r="C139" t="s">
        <v>16</v>
      </c>
      <c r="D139" t="s">
        <v>318</v>
      </c>
      <c r="F139" t="s">
        <v>326</v>
      </c>
      <c r="G139">
        <f t="shared" si="12"/>
        <v>2114</v>
      </c>
      <c r="H139" t="str">
        <f t="shared" si="13"/>
        <v>`     Cannot understand the ad</v>
      </c>
      <c r="I139" t="s">
        <v>522</v>
      </c>
      <c r="J139" t="str">
        <f t="shared" si="14"/>
        <v>&lt;G1P&gt;`     Cannot understand the ad</v>
      </c>
    </row>
    <row r="140" spans="1:10" x14ac:dyDescent="0.25">
      <c r="A140" s="141">
        <v>2134</v>
      </c>
      <c r="B140" s="142" t="s">
        <v>777</v>
      </c>
      <c r="C140" t="s">
        <v>16</v>
      </c>
      <c r="D140" t="s">
        <v>318</v>
      </c>
      <c r="F140" t="s">
        <v>326</v>
      </c>
      <c r="G140">
        <f t="shared" si="12"/>
        <v>2134</v>
      </c>
      <c r="H140" t="str">
        <f t="shared" si="13"/>
        <v>`     This is awesome</v>
      </c>
      <c r="I140" t="s">
        <v>522</v>
      </c>
      <c r="J140" t="str">
        <f t="shared" si="14"/>
        <v>&lt;G1P&gt;`     This is awesome</v>
      </c>
    </row>
    <row r="141" spans="1:10" x14ac:dyDescent="0.25">
      <c r="A141" s="145">
        <v>2136</v>
      </c>
      <c r="B141" s="146" t="s">
        <v>778</v>
      </c>
      <c r="C141" t="s">
        <v>16</v>
      </c>
      <c r="D141" t="s">
        <v>318</v>
      </c>
      <c r="F141" t="s">
        <v>326</v>
      </c>
      <c r="G141">
        <f t="shared" si="12"/>
        <v>2136</v>
      </c>
      <c r="H141" t="str">
        <f t="shared" si="13"/>
        <v>`     Can transfer money using GCash</v>
      </c>
      <c r="I141" t="s">
        <v>522</v>
      </c>
      <c r="J141" t="str">
        <f t="shared" si="14"/>
        <v>&lt;G1P&gt;`     Can transfer money using GCash</v>
      </c>
    </row>
    <row r="142" spans="1:10" x14ac:dyDescent="0.25">
      <c r="A142" s="145">
        <v>2146</v>
      </c>
      <c r="B142" s="146" t="s">
        <v>783</v>
      </c>
      <c r="C142" t="s">
        <v>16</v>
      </c>
      <c r="D142" t="s">
        <v>318</v>
      </c>
      <c r="F142" t="s">
        <v>326</v>
      </c>
      <c r="G142">
        <f t="shared" si="12"/>
        <v>2146</v>
      </c>
      <c r="H142" t="str">
        <f t="shared" si="13"/>
        <v>`     GCash is a big help</v>
      </c>
      <c r="I142" t="s">
        <v>521</v>
      </c>
      <c r="J142" t="str">
        <f t="shared" si="14"/>
        <v>&lt;G2E&gt;&lt;G1P&gt;`     GCash is a big help</v>
      </c>
    </row>
    <row r="143" spans="1:10" ht="15.75" x14ac:dyDescent="0.25">
      <c r="A143" s="33" t="s">
        <v>813</v>
      </c>
      <c r="B143" s="139" t="s">
        <v>331</v>
      </c>
      <c r="C143" t="s">
        <v>6</v>
      </c>
      <c r="D143" t="s">
        <v>323</v>
      </c>
      <c r="E143" t="s">
        <v>322</v>
      </c>
      <c r="F143" t="s">
        <v>327</v>
      </c>
      <c r="G143" t="str">
        <f t="shared" si="12"/>
        <v>2054+2079+2093+2097+2110+2111+2115+2116+2117+2118+2119+2126</v>
      </c>
      <c r="H143" t="str">
        <f t="shared" si="13"/>
        <v>`VAGUE (NET)&lt;Q&gt;</v>
      </c>
      <c r="J143" t="str">
        <f t="shared" si="14"/>
        <v>`VAGUE (NET)&lt;Q&gt;</v>
      </c>
    </row>
    <row r="144" spans="1:10" x14ac:dyDescent="0.25">
      <c r="A144" s="141">
        <v>2054</v>
      </c>
      <c r="B144" s="142" t="s">
        <v>784</v>
      </c>
      <c r="C144" t="s">
        <v>16</v>
      </c>
      <c r="D144" t="s">
        <v>318</v>
      </c>
      <c r="F144" t="s">
        <v>326</v>
      </c>
      <c r="G144">
        <f t="shared" si="12"/>
        <v>2054</v>
      </c>
      <c r="H144" t="str">
        <f t="shared" si="13"/>
        <v>`     It's okay</v>
      </c>
      <c r="I144" t="s">
        <v>520</v>
      </c>
      <c r="J144" t="str">
        <f t="shared" si="14"/>
        <v>&lt;G2B&gt;&lt;G1P&gt;`     It's okay</v>
      </c>
    </row>
    <row r="145" spans="1:10" x14ac:dyDescent="0.25">
      <c r="A145" s="141">
        <v>2079</v>
      </c>
      <c r="B145" s="142" t="s">
        <v>785</v>
      </c>
      <c r="C145" t="s">
        <v>16</v>
      </c>
      <c r="D145" t="s">
        <v>318</v>
      </c>
      <c r="F145" t="s">
        <v>326</v>
      </c>
      <c r="G145">
        <f t="shared" si="12"/>
        <v>2079</v>
      </c>
      <c r="H145" t="str">
        <f t="shared" si="13"/>
        <v>`     Hug</v>
      </c>
      <c r="I145" t="s">
        <v>522</v>
      </c>
      <c r="J145" t="str">
        <f t="shared" si="14"/>
        <v>&lt;G1P&gt;`     Hug</v>
      </c>
    </row>
    <row r="146" spans="1:10" x14ac:dyDescent="0.25">
      <c r="A146" s="141">
        <v>2093</v>
      </c>
      <c r="B146" s="142" t="s">
        <v>786</v>
      </c>
      <c r="C146" t="s">
        <v>16</v>
      </c>
      <c r="D146" t="s">
        <v>318</v>
      </c>
      <c r="F146" t="s">
        <v>326</v>
      </c>
      <c r="G146">
        <f t="shared" si="12"/>
        <v>2093</v>
      </c>
      <c r="H146" t="str">
        <f t="shared" si="13"/>
        <v>`     Install</v>
      </c>
      <c r="I146" t="s">
        <v>522</v>
      </c>
      <c r="J146" t="str">
        <f t="shared" si="14"/>
        <v>&lt;G1P&gt;`     Install</v>
      </c>
    </row>
    <row r="147" spans="1:10" x14ac:dyDescent="0.25">
      <c r="A147" s="141">
        <v>2097</v>
      </c>
      <c r="B147" s="142" t="s">
        <v>787</v>
      </c>
      <c r="C147" t="s">
        <v>16</v>
      </c>
      <c r="D147" t="s">
        <v>318</v>
      </c>
      <c r="F147" t="s">
        <v>326</v>
      </c>
      <c r="G147">
        <f t="shared" si="12"/>
        <v>2097</v>
      </c>
      <c r="H147" t="str">
        <f t="shared" si="13"/>
        <v>`     Nice</v>
      </c>
      <c r="I147" t="s">
        <v>522</v>
      </c>
      <c r="J147" t="str">
        <f t="shared" si="14"/>
        <v>&lt;G1P&gt;`     Nice</v>
      </c>
    </row>
    <row r="148" spans="1:10" x14ac:dyDescent="0.25">
      <c r="A148" s="141">
        <v>2110</v>
      </c>
      <c r="B148" s="142" t="s">
        <v>788</v>
      </c>
      <c r="C148" t="s">
        <v>16</v>
      </c>
      <c r="D148" t="s">
        <v>318</v>
      </c>
      <c r="F148" t="s">
        <v>326</v>
      </c>
      <c r="G148">
        <f t="shared" si="12"/>
        <v>2110</v>
      </c>
      <c r="H148" t="str">
        <f t="shared" si="13"/>
        <v>`     `"May kaya`"</v>
      </c>
      <c r="I148" t="s">
        <v>522</v>
      </c>
      <c r="J148" t="str">
        <f t="shared" si="14"/>
        <v>&lt;G1P&gt;`     `"May kaya`"</v>
      </c>
    </row>
    <row r="149" spans="1:10" x14ac:dyDescent="0.25">
      <c r="A149" s="141">
        <v>2111</v>
      </c>
      <c r="B149" s="142" t="s">
        <v>789</v>
      </c>
      <c r="C149" t="s">
        <v>16</v>
      </c>
      <c r="D149" t="s">
        <v>318</v>
      </c>
      <c r="F149" t="s">
        <v>326</v>
      </c>
      <c r="G149">
        <f t="shared" si="12"/>
        <v>2111</v>
      </c>
      <c r="H149" t="str">
        <f t="shared" si="13"/>
        <v>`     Someone being afraid</v>
      </c>
      <c r="I149" t="s">
        <v>522</v>
      </c>
      <c r="J149" t="str">
        <f t="shared" si="14"/>
        <v>&lt;G1P&gt;`     Someone being afraid</v>
      </c>
    </row>
    <row r="150" spans="1:10" x14ac:dyDescent="0.25">
      <c r="A150" s="141">
        <v>2115</v>
      </c>
      <c r="B150" s="142" t="s">
        <v>790</v>
      </c>
      <c r="C150" t="s">
        <v>16</v>
      </c>
      <c r="D150" t="s">
        <v>318</v>
      </c>
      <c r="F150" t="s">
        <v>326</v>
      </c>
      <c r="G150">
        <f t="shared" si="12"/>
        <v>2115</v>
      </c>
      <c r="H150" t="str">
        <f t="shared" si="13"/>
        <v>`     Missing someone</v>
      </c>
      <c r="I150" t="s">
        <v>522</v>
      </c>
      <c r="J150" t="str">
        <f t="shared" si="14"/>
        <v>&lt;G1P&gt;`     Missing someone</v>
      </c>
    </row>
    <row r="151" spans="1:10" x14ac:dyDescent="0.25">
      <c r="A151" s="141">
        <v>2116</v>
      </c>
      <c r="B151" s="142" t="s">
        <v>791</v>
      </c>
      <c r="C151" t="s">
        <v>16</v>
      </c>
      <c r="D151" t="s">
        <v>318</v>
      </c>
      <c r="F151" t="s">
        <v>326</v>
      </c>
      <c r="G151">
        <f t="shared" si="12"/>
        <v>2116</v>
      </c>
      <c r="H151" t="str">
        <f t="shared" si="13"/>
        <v>`     Helping easch other</v>
      </c>
      <c r="I151" t="s">
        <v>522</v>
      </c>
      <c r="J151" t="str">
        <f t="shared" si="14"/>
        <v>&lt;G1P&gt;`     Helping easch other</v>
      </c>
    </row>
    <row r="152" spans="1:10" x14ac:dyDescent="0.25">
      <c r="A152" s="141">
        <v>2117</v>
      </c>
      <c r="B152" s="142" t="s">
        <v>792</v>
      </c>
      <c r="C152" t="s">
        <v>16</v>
      </c>
      <c r="D152" t="s">
        <v>318</v>
      </c>
      <c r="F152" t="s">
        <v>326</v>
      </c>
      <c r="G152">
        <f t="shared" si="12"/>
        <v>2117</v>
      </c>
      <c r="H152" t="str">
        <f t="shared" si="13"/>
        <v>`     In shock</v>
      </c>
      <c r="I152" t="s">
        <v>522</v>
      </c>
      <c r="J152" t="str">
        <f t="shared" si="14"/>
        <v>&lt;G1P&gt;`     In shock</v>
      </c>
    </row>
    <row r="153" spans="1:10" x14ac:dyDescent="0.25">
      <c r="A153" s="141">
        <v>2118</v>
      </c>
      <c r="B153" s="142" t="s">
        <v>793</v>
      </c>
      <c r="C153" t="s">
        <v>16</v>
      </c>
      <c r="D153" t="s">
        <v>318</v>
      </c>
      <c r="F153" t="s">
        <v>326</v>
      </c>
      <c r="G153">
        <f t="shared" si="12"/>
        <v>2118</v>
      </c>
      <c r="H153" t="str">
        <f t="shared" si="13"/>
        <v>`     Playing</v>
      </c>
      <c r="I153" t="s">
        <v>522</v>
      </c>
      <c r="J153" t="str">
        <f t="shared" si="14"/>
        <v>&lt;G1P&gt;`     Playing</v>
      </c>
    </row>
    <row r="154" spans="1:10" x14ac:dyDescent="0.25">
      <c r="A154" s="141">
        <v>2119</v>
      </c>
      <c r="B154" s="142" t="s">
        <v>794</v>
      </c>
      <c r="C154" t="s">
        <v>16</v>
      </c>
      <c r="D154" t="s">
        <v>318</v>
      </c>
      <c r="F154" t="s">
        <v>326</v>
      </c>
      <c r="G154">
        <f t="shared" si="12"/>
        <v>2119</v>
      </c>
      <c r="H154" t="str">
        <f t="shared" si="13"/>
        <v>`     In shock because of GCash</v>
      </c>
      <c r="I154" t="s">
        <v>522</v>
      </c>
      <c r="J154" t="str">
        <f t="shared" si="14"/>
        <v>&lt;G1P&gt;`     In shock because of GCash</v>
      </c>
    </row>
    <row r="155" spans="1:10" x14ac:dyDescent="0.25">
      <c r="A155" s="141">
        <v>2126</v>
      </c>
      <c r="B155" s="142" t="s">
        <v>795</v>
      </c>
      <c r="C155" t="s">
        <v>16</v>
      </c>
      <c r="D155" t="s">
        <v>318</v>
      </c>
      <c r="F155" t="s">
        <v>326</v>
      </c>
      <c r="G155">
        <f t="shared" si="12"/>
        <v>2126</v>
      </c>
      <c r="H155" t="str">
        <f t="shared" si="13"/>
        <v>`     Enjoyed using e-wallet</v>
      </c>
      <c r="I155" t="s">
        <v>521</v>
      </c>
      <c r="J155" t="str">
        <f t="shared" si="14"/>
        <v>&lt;G2E&gt;&lt;G1P&gt;`     Enjoyed using e-wallet</v>
      </c>
    </row>
    <row r="156" spans="1:10" x14ac:dyDescent="0.25">
      <c r="A156" s="141">
        <v>9994</v>
      </c>
      <c r="B156" s="142" t="s">
        <v>796</v>
      </c>
      <c r="G156">
        <f t="shared" si="12"/>
        <v>9994</v>
      </c>
      <c r="H156" t="str">
        <f t="shared" si="13"/>
        <v>No comment</v>
      </c>
      <c r="J156" t="str">
        <f t="shared" si="14"/>
        <v>No comment</v>
      </c>
    </row>
    <row r="157" spans="1:10" x14ac:dyDescent="0.25">
      <c r="A157" s="141">
        <v>9996</v>
      </c>
      <c r="B157" s="142" t="s">
        <v>302</v>
      </c>
      <c r="G157">
        <f t="shared" si="12"/>
        <v>9996</v>
      </c>
      <c r="H157" t="str">
        <f t="shared" si="13"/>
        <v>Can't say</v>
      </c>
      <c r="J157" t="str">
        <f t="shared" si="14"/>
        <v>Can't say</v>
      </c>
    </row>
    <row r="158" spans="1:10" x14ac:dyDescent="0.25">
      <c r="A158" s="141">
        <v>9997</v>
      </c>
      <c r="B158" s="142" t="s">
        <v>336</v>
      </c>
      <c r="G158">
        <f t="shared" si="12"/>
        <v>9997</v>
      </c>
      <c r="H158" t="str">
        <f t="shared" si="13"/>
        <v>Don't know</v>
      </c>
      <c r="J158" t="str">
        <f t="shared" si="14"/>
        <v>Don't know</v>
      </c>
    </row>
    <row r="159" spans="1:10" x14ac:dyDescent="0.25">
      <c r="A159" s="141">
        <v>9998</v>
      </c>
      <c r="B159" s="142" t="s">
        <v>797</v>
      </c>
      <c r="G159">
        <f t="shared" si="12"/>
        <v>9998</v>
      </c>
      <c r="H159" t="str">
        <f t="shared" si="13"/>
        <v>No idea</v>
      </c>
      <c r="J159" t="str">
        <f t="shared" si="14"/>
        <v>No idea</v>
      </c>
    </row>
    <row r="160" spans="1:10" x14ac:dyDescent="0.25">
      <c r="A160" s="141">
        <v>9999</v>
      </c>
      <c r="B160" s="142" t="s">
        <v>303</v>
      </c>
      <c r="G160">
        <f t="shared" si="12"/>
        <v>9999</v>
      </c>
      <c r="H160" t="str">
        <f t="shared" si="13"/>
        <v>None</v>
      </c>
      <c r="J160" t="str">
        <f t="shared" si="14"/>
        <v>None</v>
      </c>
    </row>
  </sheetData>
  <autoFilter ref="A1:C160" xr:uid="{113D6913-E831-4304-88AD-9541965DED1E}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2206C-BD65-4762-A73B-B179CD9E10A6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SAMPLE</vt:lpstr>
      <vt:lpstr>OV1</vt:lpstr>
      <vt:lpstr>RANK</vt:lpstr>
      <vt:lpstr>Qshow2</vt:lpstr>
      <vt:lpstr>Qwho4</vt:lpstr>
      <vt:lpstr>brandlink1</vt:lpstr>
      <vt:lpstr>QFI3A</vt:lpstr>
      <vt:lpstr>QFI4</vt:lpstr>
      <vt:lpstr>QFi5</vt:lpstr>
      <vt:lpstr>SOA2</vt:lpstr>
      <vt:lpstr>SH7</vt:lpstr>
      <vt:lpstr>ST7</vt:lpstr>
      <vt:lpstr>QGI7</vt:lpstr>
      <vt:lpstr>QSC7</vt:lpstr>
      <vt:lpstr>QLM5</vt:lpstr>
      <vt:lpstr>QNT7</vt:lpstr>
      <vt:lpstr>QFI5_SG</vt:lpstr>
      <vt:lpstr>QFI5_BLS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Jigger Mendeja</dc:creator>
  <cp:lastModifiedBy>Jigger Mendeja</cp:lastModifiedBy>
  <dcterms:created xsi:type="dcterms:W3CDTF">2024-09-19T19:27:28Z</dcterms:created>
  <dcterms:modified xsi:type="dcterms:W3CDTF">2024-10-17T16:16:50Z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2024-09-19T19:36:41Z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238f1195-de12-4a47-8a4e-4f355866d959</vt:lpwstr>
  </property>
  <property fmtid="{D5CDD505-2E9C-101B-9397-08002B2CF9AE}" pid="7" name="MSIP_Label_defa4170-0d19-0005-0004-bc88714345d2_ActionId">
    <vt:lpwstr>94c6a0e3-ee3b-4ae4-8142-f77cd16337fc</vt:lpwstr>
  </property>
  <property fmtid="{D5CDD505-2E9C-101B-9397-08002B2CF9AE}" pid="8" name="MSIP_Label_defa4170-0d19-0005-0004-bc88714345d2_ContentBits">
    <vt:lpwstr>0</vt:lpwstr>
  </property>
</Properties>
</file>