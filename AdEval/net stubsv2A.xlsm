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1B295D93-376C-4F22-ABBB-7224221CB48D}" xr6:coauthVersionLast="47" xr6:coauthVersionMax="47" xr10:uidLastSave="{00000000-0000-0000-0000-000000000000}"/>
  <bookViews>
    <workbookView xWindow="-120" yWindow="-120" windowWidth="29040" windowHeight="15720" tabRatio="620" firstSheet="3" activeTab="12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'QGI7'!$A$1:$J$124</definedName>
    <definedName name="_xlnm._FilterDatabase" localSheetId="14" hidden="1">'QLM5'!$A$1:$C$112</definedName>
    <definedName name="_xlnm._FilterDatabase" localSheetId="15" hidden="1">'QNT7'!$A$1:$C$122</definedName>
    <definedName name="_xlnm._FilterDatabase" localSheetId="13" hidden="1">'QSC7'!$A$1:$C$110</definedName>
    <definedName name="_xlnm._FilterDatabase" localSheetId="0" hidden="1">SAMPLE!$A$1:$Z$262</definedName>
    <definedName name="_xlnm._FilterDatabase" localSheetId="10" hidden="1">'SH7'!$A$1:$C$123</definedName>
    <definedName name="_xlnm._FilterDatabase" localSheetId="11" hidden="1">'ST7'!$A$1:$J$153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47" l="1"/>
  <c r="H124" i="47"/>
  <c r="G124" i="47"/>
  <c r="J123" i="47"/>
  <c r="H123" i="47"/>
  <c r="G123" i="47"/>
  <c r="J122" i="47"/>
  <c r="H122" i="47"/>
  <c r="G122" i="47"/>
  <c r="J121" i="47"/>
  <c r="H121" i="47"/>
  <c r="G121" i="47"/>
  <c r="J120" i="47"/>
  <c r="H120" i="47"/>
  <c r="G120" i="47"/>
  <c r="J119" i="47"/>
  <c r="H119" i="47"/>
  <c r="G119" i="47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21" i="46"/>
  <c r="H121" i="46"/>
  <c r="G121" i="46"/>
  <c r="J120" i="46"/>
  <c r="H120" i="46"/>
  <c r="G120" i="46"/>
  <c r="J119" i="46"/>
  <c r="H119" i="46"/>
  <c r="G119" i="46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H97" i="46"/>
  <c r="J97" i="46" s="1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60" i="54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J99" i="5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<sst xmlns="http://schemas.openxmlformats.org/spreadsheetml/2006/main" count="9116" uniqueCount="1515">
  <si>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</si>
  <si>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</si>
  <si>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</si>
  <si>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</si>
  <si>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</si>
  <si>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</si>
  <si>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</si>
  <si>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</si>
  <si>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</si>
  <si>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</si>
  <si>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</si>
  <si>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</si>
  <si>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</si>
  <si>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</si>
  <si>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</si>
  <si>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</si>
  <si>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</si>
  <si>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</si>
  <si>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</si>
  <si>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</si>
  <si>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</si>
  <si>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</si>
  <si>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</si>
  <si>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</si>
  <si>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</si>
  <si>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</si>
  <si>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</si>
  <si>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</si>
  <si>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</si>
  <si>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</si>
  <si>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</si>
  <si>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</si>
  <si>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</si>
  <si>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</si>
  <si>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</si>
  <si>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</si>
  <si>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</si>
  <si>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</si>
  <si>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</si>
  <si>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</si>
  <si>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</si>
  <si>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</si>
  <si>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</si>
  <si>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</si>
  <si>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</si>
  <si>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</si>
  <si>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</si>
  <si>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</si>
  <si>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</si>
  <si>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</si>
  <si>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</si>
  <si>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</si>
  <si>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</si>
  <si>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</si>
  <si>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</si>
  <si>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</si>
  <si>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</si>
  <si>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</si>
  <si>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</si>
  <si>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</si>
  <si>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</si>
  <si>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</si>
  <si>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</si>
  <si>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</si>
  <si>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</si>
  <si>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</si>
  <si>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</si>
  <si>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</si>
  <si>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</si>
  <si>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</si>
  <si>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</si>
  <si>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</si>
  <si>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</si>
  <si>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</si>
  <si>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</si>
  <si>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</si>
  <si>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</si>
  <si>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</si>
  <si>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</si>
  <si>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</si>
  <si>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</si>
  <si>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</si>
  <si>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</si>
  <si>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</si>
  <si>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</si>
  <si>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</si>
  <si>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</si>
  <si>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</si>
  <si>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</si>
  <si>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</si>
  <si>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</si>
  <si>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</si>
  <si>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</si>
  <si>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</si>
  <si>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</si>
  <si>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</si>
  <si>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</si>
  <si>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</si>
  <si>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</si>
  <si>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</si>
  <si>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</si>
  <si>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</si>
  <si>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</si>
  <si>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</si>
  <si>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</si>
  <si>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</si>
  <si>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</si>
  <si>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</si>
  <si>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</si>
  <si>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</si>
  <si>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</si>
  <si>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</si>
  <si>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</si>
  <si>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</si>
  <si>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</si>
  <si>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</si>
  <si>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</si>
  <si>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</si>
  <si>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</si>
  <si>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</si>
  <si>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</si>
  <si>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</si>
  <si>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</si>
  <si>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</si>
  <si>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</si>
  <si>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</si>
  <si>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</si>
  <si>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</si>
  <si>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</si>
  <si>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</si>
  <si>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</si>
  <si>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</si>
  <si>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</si>
  <si>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</si>
  <si>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</si>
  <si>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</si>
  <si>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</si>
  <si>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</si>
  <si>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</si>
  <si>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</si>
  <si>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</si>
  <si>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</si>
  <si>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</si>
  <si>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</si>
  <si>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</si>
  <si>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</si>
  <si>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</si>
  <si>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</si>
  <si>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</si>
  <si>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</si>
  <si>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</si>
  <si>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</si>
  <si>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</si>
  <si>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</si>
  <si>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</si>
  <si>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</si>
  <si>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</si>
  <si>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</si>
  <si>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</si>
  <si>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</si>
  <si>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</si>
  <si>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</si>
  <si>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</si>
  <si>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</si>
  <si>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</si>
  <si>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</si>
  <si>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</si>
  <si>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</si>
  <si>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</si>
  <si>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</si>
  <si>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</si>
  <si>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</si>
  <si>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</si>
  <si>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</si>
  <si>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</si>
  <si>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</si>
  <si>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</si>
  <si>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</si>
  <si>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</si>
  <si>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</si>
  <si>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</si>
  <si>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</si>
  <si>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</si>
  <si>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</si>
  <si>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</si>
  <si>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</si>
  <si>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</si>
  <si>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</si>
  <si>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</si>
  <si>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</si>
  <si>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</si>
  <si>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</si>
  <si>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</si>
  <si>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</si>
  <si>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</si>
  <si>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</si>
  <si>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</si>
  <si>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</si>
  <si>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</si>
  <si>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</si>
  <si>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</si>
  <si>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</si>
  <si>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</si>
  <si>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</si>
  <si>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</si>
  <si>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</si>
  <si>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</si>
  <si>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</si>
  <si>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</si>
  <si>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</si>
  <si>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</si>
  <si>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</si>
  <si>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</si>
  <si>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</si>
  <si>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</si>
  <si>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</si>
  <si>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</si>
  <si>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</si>
  <si>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</si>
  <si>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</si>
  <si>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</si>
  <si>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</si>
  <si>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</si>
  <si>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</si>
  <si>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</si>
  <si>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</si>
  <si>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</si>
  <si>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</si>
  <si>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</si>
  <si>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</si>
  <si>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</si>
  <si>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</si>
  <si>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</si>
  <si>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</si>
  <si>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</si>
  <si>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</si>
  <si>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</si>
  <si>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</si>
  <si>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</si>
  <si>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</si>
  <si>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</si>
  <si>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</si>
  <si>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</si>
  <si>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</si>
  <si>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</si>
  <si>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</si>
  <si>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</si>
  <si>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</si>
  <si>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</si>
  <si>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</si>
  <si>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</si>
  <si>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</si>
  <si>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</si>
  <si>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</si>
  <si>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</si>
  <si>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</si>
  <si>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</si>
  <si>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</si>
  <si>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</si>
  <si>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</si>
  <si>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</si>
  <si>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</si>
  <si>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</si>
  <si>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</si>
  <si>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</si>
  <si>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</si>
  <si>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</si>
  <si>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</si>
  <si>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</si>
  <si>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</si>
  <si>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</si>
  <si>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</si>
  <si>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</si>
  <si>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</si>
  <si>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</si>
  <si>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</si>
  <si>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</si>
  <si>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</si>
  <si>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</si>
  <si>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</si>
  <si>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</si>
  <si>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</si>
  <si>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</si>
  <si>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</si>
  <si>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</si>
  <si>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</si>
  <si>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</si>
  <si>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</si>
  <si>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</si>
  <si>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</si>
  <si>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</si>
  <si>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</si>
  <si>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</si>
  <si>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</si>
  <si>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</si>
  <si>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</si>
  <si>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</si>
  <si>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</si>
  <si>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</si>
  <si>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</si>
  <si>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</si>
  <si>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</si>
  <si>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</si>
  <si>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</si>
  <si>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</si>
  <si>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</si>
  <si>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</si>
  <si>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</si>
  <si>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</si>
  <si>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</si>
  <si>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</si>
  <si>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</si>
  <si>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</si>
  <si>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</si>
  <si>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</si>
  <si>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</si>
  <si>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</si>
  <si>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</si>
  <si>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</si>
  <si>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</si>
  <si>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</si>
  <si>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</si>
  <si>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</si>
  <si>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</si>
  <si>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</si>
  <si>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</si>
  <si>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</si>
  <si>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</si>
  <si>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</si>
  <si>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</si>
  <si>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</si>
  <si>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</si>
  <si>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</si>
  <si>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</si>
  <si>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</si>
  <si>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</si>
  <si>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</si>
  <si>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</si>
  <si>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</si>
  <si>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</si>
  <si>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</si>
  <si>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</si>
  <si>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</si>
  <si>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</si>
  <si>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</si>
  <si>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</si>
  <si>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</si>
  <si>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</si>
  <si>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</si>
  <si>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</si>
  <si>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</si>
  <si>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</si>
  <si>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</si>
  <si>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</si>
  <si>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</si>
  <si>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</si>
  <si>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</si>
  <si>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</si>
  <si>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</si>
  <si>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</si>
  <si>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</si>
  <si>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</si>
  <si>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</si>
  <si>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</si>
  <si>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</si>
  <si>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</si>
  <si>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</si>
  <si>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</si>
  <si>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</si>
  <si>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</si>
  <si>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</si>
  <si>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</si>
  <si>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</si>
  <si>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</si>
  <si>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</si>
  <si>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</si>
  <si>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</si>
  <si>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</si>
  <si>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</si>
  <si>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</si>
  <si>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</si>
  <si>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</si>
  <si>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</si>
  <si>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</si>
  <si>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</si>
  <si>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</si>
  <si>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</si>
  <si>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</si>
  <si>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</si>
  <si>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</si>
  <si>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</si>
  <si>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</si>
  <si>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</si>
  <si>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</si>
  <si>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</si>
  <si>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</si>
  <si>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</si>
  <si>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</si>
  <si>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</si>
  <si>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</si>
  <si>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</si>
  <si>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</si>
  <si>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</si>
  <si>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</si>
  <si>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</si>
  <si>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</si>
  <si>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</si>
  <si>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</si>
  <si>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</si>
  <si>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</si>
  <si>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</si>
  <si>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</si>
  <si>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</si>
  <si>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</si>
  <si>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</si>
  <si>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</si>
  <si>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</si>
  <si>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</si>
  <si>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</si>
  <si>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</si>
  <si>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</si>
  <si>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</si>
  <si>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</si>
  <si>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</si>
  <si>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</si>
  <si>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</si>
  <si>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</si>
  <si>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</si>
  <si>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</si>
  <si>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</si>
  <si>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</si>
  <si>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</si>
  <si>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</si>
  <si>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</si>
  <si>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</si>
  <si>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</si>
  <si>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</si>
  <si>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</si>
  <si>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</si>
  <si>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</si>
  <si>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</si>
  <si>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</si>
  <si>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</si>
  <si>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</si>
  <si>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</si>
  <si>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</si>
  <si>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</si>
  <si>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</si>
  <si>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</si>
  <si>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</si>
  <si>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</si>
  <si>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</si>
  <si>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</si>
  <si>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</si>
  <si>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</si>
  <si>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</si>
  <si>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</si>
  <si>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</si>
  <si>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</si>
  <si>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</si>
  <si>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</si>
  <si>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</si>
  <si>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</si>
  <si>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</si>
  <si>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</si>
  <si>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</si>
  <si>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</si>
  <si>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</si>
  <si>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</si>
  <si>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</si>
  <si>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</si>
  <si>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</si>
  <si>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</si>
  <si>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</si>
  <si>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</si>
  <si>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</si>
  <si>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</si>
  <si>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</si>
  <si>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</si>
  <si>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</si>
  <si>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</si>
  <si>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</si>
  <si>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</si>
  <si>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</si>
  <si>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</si>
  <si>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</si>
  <si>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</si>
  <si>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</si>
  <si>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</si>
  <si>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</si>
  <si>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</si>
  <si>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</si>
  <si>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</si>
  <si>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</si>
  <si>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</si>
  <si>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</si>
  <si>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</si>
  <si>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</si>
  <si>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</si>
  <si>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</si>
  <si>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</si>
  <si>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</si>
  <si>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</si>
  <si>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</si>
  <si>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</si>
  <si>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</si>
  <si>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</si>
  <si>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</si>
  <si>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</si>
  <si>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</si>
  <si>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</si>
  <si>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</si>
  <si>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</si>
  <si>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</si>
  <si>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</si>
  <si>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</si>
  <si>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</si>
  <si>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</si>
  <si>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</si>
  <si>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</si>
  <si>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</si>
  <si>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</si>
  <si>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</si>
  <si>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</si>
  <si>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</si>
  <si>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</si>
  <si>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</si>
  <si>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</si>
  <si>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</si>
  <si>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</si>
  <si>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</si>
  <si>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</si>
  <si>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</si>
  <si>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</si>
  <si>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</si>
  <si>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</si>
  <si>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</si>
  <si>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</si>
  <si>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</si>
  <si>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</si>
  <si>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</si>
  <si>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</si>
  <si>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</si>
  <si>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</si>
  <si>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</si>
  <si>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</si>
  <si>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</si>
  <si>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</si>
  <si>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</si>
  <si>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</si>
  <si>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</si>
  <si>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</si>
  <si>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</si>
  <si>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</si>
  <si>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</si>
  <si>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</si>
  <si>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</si>
  <si>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</si>
  <si>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</si>
  <si>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</si>
  <si>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</si>
  <si>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</si>
  <si>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</si>
  <si>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</si>
  <si>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</si>
  <si>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</si>
  <si>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</si>
  <si>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</si>
  <si>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</si>
  <si>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</si>
  <si>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</si>
  <si>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</si>
  <si>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</si>
  <si>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</si>
  <si>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</si>
  <si>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</si>
  <si>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</si>
  <si>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</si>
  <si>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</si>
  <si>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</si>
  <si>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</si>
  <si>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</si>
  <si>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</si>
  <si>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</si>
  <si>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</si>
  <si>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</si>
  <si>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</si>
  <si>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</si>
  <si>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</si>
  <si>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</si>
  <si>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</si>
  <si>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</si>
  <si>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</si>
  <si>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</si>
  <si>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</si>
  <si>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</si>
  <si>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</si>
  <si>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</si>
  <si>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</si>
  <si>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</si>
  <si>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</si>
  <si>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</si>
  <si>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</si>
  <si>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</si>
  <si>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</si>
  <si>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</si>
  <si>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</si>
  <si>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</si>
  <si>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</si>
  <si>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</si>
  <si>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</si>
  <si>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</si>
  <si>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</si>
  <si>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</si>
  <si>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</si>
  <si>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</si>
  <si>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</si>
  <si>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</si>
  <si>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</si>
  <si>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</si>
  <si>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</si>
  <si>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</si>
  <si>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</si>
  <si>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</si>
  <si>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</si>
  <si>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</si>
  <si>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</si>
  <si>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</si>
  <si>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</si>
  <si>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</si>
  <si>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</si>
  <si>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</si>
  <si>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</si>
  <si>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</si>
  <si>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</si>
  <si>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</si>
  <si>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</si>
  <si>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</si>
  <si>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</si>
  <si>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</si>
  <si>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</si>
  <si>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</si>
  <si>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</si>
  <si>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</si>
  <si>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</si>
  <si>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</si>
  <si>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</si>
  <si>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</si>
  <si>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</si>
  <si>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</si>
  <si>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</si>
  <si>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</si>
  <si>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</si>
  <si>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</si>
  <si>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</si>
  <si>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</si>
  <si>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</si>
  <si>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</si>
  <si>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</si>
  <si>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</si>
  <si>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</si>
  <si>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</si>
  <si>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</si>
  <si>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</si>
  <si>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</si>
  <si>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</si>
  <si>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</si>
  <si>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</si>
  <si>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</si>
  <si>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</si>
  <si>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</si>
  <si>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</si>
  <si>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</si>
  <si>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</si>
  <si>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</si>
  <si>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</si>
  <si>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</si>
  <si>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</si>
  <si>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</si>
  <si>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</si>
  <si>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</si>
  <si>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</si>
  <si>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</si>
  <si>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</si>
  <si>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</si>
  <si>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</si>
  <si>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</si>
  <si>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</si>
  <si>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</si>
  <si>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</si>
  <si>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</si>
  <si>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</si>
  <si>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</si>
  <si>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</si>
  <si>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</si>
  <si>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</si>
  <si>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</si>
  <si>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</si>
  <si>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</si>
  <si>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</si>
  <si>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</si>
  <si>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</si>
  <si>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</si>
  <si>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</si>
  <si>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</si>
  <si>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</si>
  <si>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</si>
  <si>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</si>
  <si>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</si>
  <si>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</si>
  <si>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</si>
  <si>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</si>
  <si>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</si>
  <si>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</si>
  <si>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</si>
  <si>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</si>
  <si>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</si>
  <si>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</si>
  <si>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</si>
  <si>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</si>
  <si>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</si>
  <si>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</si>
  <si>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</si>
  <si>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</si>
  <si>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</si>
  <si>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</si>
  <si>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</si>
  <si>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</si>
  <si>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</si>
  <si>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</si>
  <si>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</si>
  <si>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</si>
  <si>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</si>
  <si>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</si>
  <si>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</si>
  <si>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</si>
  <si>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</si>
  <si>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</si>
  <si>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</si>
  <si>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</si>
  <si>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</si>
  <si>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</si>
  <si>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</si>
  <si>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</si>
  <si>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</si>
  <si>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</si>
  <si>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</si>
  <si>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</si>
  <si>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</si>
  <si>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</si>
  <si>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</si>
  <si>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</si>
  <si>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</si>
  <si>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</si>
  <si>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</si>
  <si>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</si>
  <si>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</si>
  <si>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</si>
  <si>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</si>
  <si>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</si>
  <si>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</si>
  <si>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</si>
  <si>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</si>
  <si>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</si>
  <si>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</si>
  <si>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</si>
  <si>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</si>
  <si>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</si>
  <si>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</si>
  <si>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</si>
  <si>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</si>
  <si>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</si>
  <si>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</si>
  <si>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</si>
  <si>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</si>
  <si>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</si>
  <si>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</si>
  <si>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</si>
  <si>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</si>
  <si>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</si>
  <si>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</si>
  <si>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</si>
  <si>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</si>
  <si>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</si>
  <si>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</si>
  <si>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</si>
  <si>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</si>
  <si>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</si>
  <si>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</si>
  <si>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</si>
  <si>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</si>
  <si>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</si>
  <si>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</si>
  <si>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</si>
  <si>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</si>
  <si>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</si>
  <si>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</si>
  <si>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</si>
  <si>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</si>
  <si>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</si>
  <si>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</si>
  <si>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</si>
  <si>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</si>
  <si>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</si>
  <si>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</si>
  <si>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</si>
  <si>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</si>
  <si>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</si>
  <si>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</si>
  <si>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</si>
  <si>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</si>
  <si>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</si>
  <si>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</si>
  <si>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</si>
  <si>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</si>
  <si>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</si>
  <si>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</si>
  <si>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</si>
  <si>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</si>
  <si>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</si>
  <si>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</si>
  <si>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</si>
  <si>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</si>
  <si>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</si>
  <si>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</si>
  <si>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</si>
  <si>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</si>
  <si>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</si>
  <si>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</si>
  <si>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</si>
  <si>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</si>
  <si>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</si>
  <si>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</si>
  <si>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</si>
  <si>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</si>
  <si>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</si>
  <si>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</si>
  <si>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</si>
  <si>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</si>
  <si>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</si>
  <si>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</si>
  <si>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</si>
  <si>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</si>
  <si>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</si>
  <si>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</si>
  <si>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</si>
  <si>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</si>
  <si>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</si>
  <si>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</si>
  <si>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</si>
  <si>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</si>
  <si>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</si>
  <si>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</si>
  <si>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</si>
  <si>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</si>
  <si>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</si>
  <si>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</si>
  <si>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</si>
  <si>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</si>
  <si>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</si>
  <si>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</si>
  <si>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</si>
  <si>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</si>
  <si>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</si>
  <si>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</si>
  <si>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</si>
  <si>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</si>
  <si>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</si>
  <si>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</si>
  <si>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</si>
  <si>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</si>
  <si>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</si>
  <si>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</si>
  <si>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</si>
  <si>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</si>
  <si>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</si>
  <si>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</si>
  <si>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</si>
  <si>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</si>
  <si>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</si>
  <si>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</si>
  <si>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</si>
  <si>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</si>
  <si>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</si>
  <si>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</si>
  <si>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</si>
  <si>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</si>
  <si>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</si>
  <si>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</si>
  <si>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</si>
  <si>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</si>
  <si>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</si>
  <si>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</si>
  <si>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</si>
  <si>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</si>
  <si>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</si>
  <si>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</si>
  <si>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</si>
  <si>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</si>
  <si>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</si>
  <si>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</si>
  <si>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</si>
  <si>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</si>
  <si>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</si>
  <si>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</si>
  <si>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</si>
  <si>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</si>
  <si>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</si>
  <si>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</si>
  <si>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</si>
  <si>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</si>
  <si>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</si>
  <si>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</si>
  <si>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</si>
  <si>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</si>
  <si>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</si>
  <si>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</si>
  <si>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</si>
  <si>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</si>
  <si>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</si>
  <si>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</si>
  <si>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</si>
  <si>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</si>
  <si>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</si>
  <si>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</si>
  <si>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</si>
  <si>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</si>
  <si>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</si>
  <si>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</si>
  <si>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</si>
  <si>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</si>
  <si>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</si>
  <si>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</si>
  <si>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</si>
  <si>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2104+2140+2163</t>
  </si>
  <si>
    <t>2105+2106+2107+2108+2156+2109+2110+2111+2161+2173+2174+2176+2177+2183+2158+2170</t>
  </si>
  <si>
    <t>2112+2113+2114+2115+2190+2191+2195</t>
  </si>
  <si>
    <t>2117+2118+2119+2152+2166+2180+2181+2188+2144+2145+2169+2198</t>
  </si>
  <si>
    <t>2121+2122+2167</t>
  </si>
  <si>
    <t>2124+2125</t>
  </si>
  <si>
    <t>2126+2127+2128+2129+2130+2141+2143+2151+2168+2192+2193+2196</t>
  </si>
  <si>
    <t>2131+2132+2133+2171+2159</t>
  </si>
  <si>
    <t>2149+2150</t>
  </si>
  <si>
    <t>2178+2179</t>
  </si>
  <si>
    <t>2134+2135+2136+2137+2160+2189+2194+2197+2199+2200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</si>
  <si>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</si>
  <si>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</si>
  <si>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</si>
  <si>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</si>
  <si>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</si>
  <si>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</si>
  <si>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</si>
  <si>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</si>
  <si>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</si>
  <si>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</si>
  <si>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</si>
  <si>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</si>
  <si>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</si>
  <si>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</si>
  <si>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</si>
  <si>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</si>
  <si>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</si>
  <si>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</si>
  <si>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</si>
  <si>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</si>
  <si>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</si>
  <si>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</si>
  <si>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</si>
  <si>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</si>
  <si>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</si>
  <si>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</si>
  <si>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</si>
  <si>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</si>
  <si>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</si>
  <si>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</si>
  <si>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</si>
  <si>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</si>
  <si>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</si>
  <si>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</si>
  <si>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</si>
  <si>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</si>
  <si>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</si>
  <si>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</si>
  <si>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</si>
  <si>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</si>
  <si>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</si>
  <si>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</si>
  <si>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</si>
  <si>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</si>
  <si>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</si>
  <si>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</si>
  <si>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</si>
  <si>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</si>
  <si>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</si>
  <si>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</si>
  <si>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</si>
  <si>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</si>
  <si>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</si>
  <si>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</si>
  <si>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</si>
  <si>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</si>
  <si>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</si>
  <si>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</si>
  <si>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</si>
  <si>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</si>
  <si>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</si>
  <si>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</si>
  <si>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</si>
  <si>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</si>
  <si>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</si>
  <si>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</si>
  <si>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</si>
  <si>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</si>
  <si>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</si>
  <si>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</si>
  <si>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</si>
  <si>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</si>
  <si>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</si>
  <si>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</si>
  <si>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</si>
  <si>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</si>
  <si>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</si>
  <si>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</si>
  <si>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</si>
  <si>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</si>
  <si>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</si>
  <si>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</si>
  <si>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</si>
  <si>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</si>
  <si>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</si>
  <si>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</si>
  <si>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</si>
  <si>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</si>
  <si>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</si>
  <si>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</si>
  <si>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</si>
  <si>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</si>
  <si>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</si>
  <si>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</si>
  <si>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</si>
  <si>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</si>
  <si>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</si>
  <si>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</si>
  <si>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</si>
  <si>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</si>
  <si>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</si>
  <si>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</si>
  <si>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</si>
  <si>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</si>
  <si>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</si>
  <si>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</si>
  <si>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</si>
  <si>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</si>
  <si>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</si>
  <si>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</si>
  <si>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</si>
  <si>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</si>
  <si>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</si>
  <si>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</si>
  <si>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</si>
  <si>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</si>
  <si>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</si>
  <si>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</si>
  <si>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</si>
  <si>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</si>
  <si>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</si>
  <si>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</si>
  <si>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</si>
  <si>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</si>
  <si>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</si>
  <si>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</si>
  <si>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</si>
  <si>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</si>
  <si>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</si>
  <si>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</si>
  <si>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</si>
  <si>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</si>
  <si>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</si>
  <si>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</si>
  <si>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</si>
  <si>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</si>
  <si>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</si>
  <si>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</si>
  <si>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</si>
  <si>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</si>
  <si>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</si>
  <si>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</si>
  <si>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</si>
  <si>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</si>
  <si>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</si>
  <si>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</si>
  <si>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</si>
  <si>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</si>
  <si>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</si>
  <si>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</si>
  <si>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</si>
  <si>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</si>
  <si>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</si>
  <si>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</si>
  <si>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</si>
  <si>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</si>
  <si>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</si>
  <si>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</si>
  <si>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</si>
  <si>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</si>
  <si>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</si>
  <si>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</si>
  <si>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</si>
  <si>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</si>
  <si>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</si>
  <si>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</si>
  <si>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</si>
  <si>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</si>
  <si>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</si>
  <si>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</si>
  <si>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</si>
  <si>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</si>
  <si>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</si>
  <si>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</si>
  <si>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</si>
  <si>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</si>
  <si>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</si>
  <si>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</si>
  <si>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</si>
  <si>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</si>
  <si>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</si>
  <si>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</si>
  <si>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</si>
  <si>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</si>
  <si>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</si>
  <si>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</si>
  <si>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</si>
  <si>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</si>
  <si>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</si>
  <si>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</si>
  <si>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</si>
  <si>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</si>
  <si>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</si>
  <si>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</si>
  <si>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</si>
  <si>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</si>
  <si>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</si>
  <si>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</si>
  <si>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</si>
  <si>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</si>
  <si>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</si>
  <si>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</si>
  <si>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</si>
  <si>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</si>
  <si>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</si>
  <si>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</si>
  <si>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</si>
  <si>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</si>
  <si>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</si>
  <si>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</si>
  <si>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</si>
  <si>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</si>
  <si>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</si>
  <si>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</si>
  <si>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</si>
  <si>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</si>
  <si>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</si>
  <si>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</si>
  <si>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</si>
  <si>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</si>
  <si>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</si>
  <si>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</si>
  <si>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</si>
  <si>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</si>
  <si>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</si>
  <si>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</si>
  <si>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</si>
  <si>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</si>
  <si>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</si>
  <si>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</si>
  <si>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</si>
  <si>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</si>
  <si>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</si>
  <si>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</si>
  <si>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</si>
  <si>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</si>
  <si>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</si>
  <si>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</si>
  <si>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</si>
  <si>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</si>
  <si>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</si>
  <si>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</si>
  <si>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</si>
  <si>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</si>
  <si>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</si>
  <si>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</si>
  <si>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</si>
  <si>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</si>
  <si>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</si>
  <si>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</si>
  <si>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</si>
  <si>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</si>
  <si>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</si>
  <si>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</si>
  <si>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</si>
  <si>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</si>
  <si>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</si>
  <si>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</si>
  <si>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</si>
  <si>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</si>
  <si>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</si>
  <si>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</si>
  <si>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</si>
  <si>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</si>
  <si>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</si>
  <si>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</si>
  <si>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</si>
  <si>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</si>
  <si>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</si>
  <si>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</si>
  <si>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</si>
  <si>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</si>
  <si>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</si>
  <si>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</si>
  <si>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</si>
  <si>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</si>
  <si>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</si>
  <si>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</si>
  <si>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</si>
  <si>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</si>
  <si>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</si>
  <si>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</si>
  <si>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</si>
  <si>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</si>
  <si>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</si>
  <si>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</si>
  <si>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</si>
  <si>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</si>
  <si>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</si>
  <si>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</si>
  <si>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</si>
  <si>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</si>
  <si>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</si>
  <si>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</si>
  <si>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</si>
  <si>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</si>
  <si>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</si>
  <si>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</si>
  <si>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</si>
  <si>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</si>
  <si>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</si>
  <si>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1001+1002+1003+1004+1005+1031+1050+1051+1053+1056</t>
  </si>
  <si>
    <t>1006+1007+1008+1009+1010+1035+1036+1054+1060</t>
  </si>
  <si>
    <t>1014+1015</t>
  </si>
  <si>
    <t>1016+1070</t>
  </si>
  <si>
    <t>1017+1033+1034+1055+1076</t>
  </si>
  <si>
    <t>1018+1019+1020+1021</t>
  </si>
  <si>
    <t>1022+1023+1024+1025+1026</t>
  </si>
  <si>
    <t>1027+1028+1052+1061+1062+1063+1065</t>
  </si>
  <si>
    <t>1029+1030+1032+1037+1038+1039+1040+1041+1042+1043+1044+1045+1046+1047+1048+1049+1057+1058+1059+1064+1066+1067+1068+1069+1071+1072+1073+1074+1075+1077+1078+1079+1080+1081+1082+1083+1084+1085+1086+1087+1088+1090+1092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</si>
  <si>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</si>
  <si>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</si>
  <si>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</si>
  <si>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</si>
  <si>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</si>
  <si>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</si>
  <si>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</si>
  <si>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</si>
  <si>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</si>
  <si>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</si>
  <si>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</si>
  <si>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</si>
  <si>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</si>
  <si>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</si>
  <si>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</si>
  <si>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</si>
  <si>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</si>
  <si>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</si>
  <si>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</si>
  <si>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</si>
  <si>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</si>
  <si>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</si>
  <si>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</si>
  <si>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</si>
  <si>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</si>
  <si>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</si>
  <si>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</si>
  <si>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</si>
  <si>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</si>
  <si>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</si>
  <si>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</si>
  <si>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</si>
  <si>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</si>
  <si>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</si>
  <si>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</si>
  <si>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</si>
  <si>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</si>
  <si>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</si>
  <si>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</si>
  <si>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</si>
  <si>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</si>
  <si>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</si>
  <si>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</si>
  <si>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</si>
  <si>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</si>
  <si>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</si>
  <si>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</si>
  <si>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</si>
  <si>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</si>
  <si>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</si>
  <si>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</si>
  <si>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</si>
  <si>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</si>
  <si>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</si>
  <si>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</si>
  <si>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</si>
  <si>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</si>
  <si>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</si>
  <si>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</si>
  <si>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</si>
  <si>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</si>
  <si>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</si>
  <si>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</si>
  <si>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</si>
  <si>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</si>
  <si>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</si>
  <si>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</si>
  <si>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</si>
  <si>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</si>
  <si>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</si>
  <si>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</si>
  <si>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</si>
  <si>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</si>
  <si>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</si>
  <si>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</si>
  <si>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</si>
  <si>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</si>
  <si>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</si>
  <si>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</si>
  <si>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</si>
  <si>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</si>
  <si>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</si>
  <si>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</si>
  <si>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</si>
  <si>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</si>
  <si>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</si>
  <si>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</si>
  <si>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</si>
  <si>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</si>
  <si>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</si>
  <si>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</si>
  <si>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1003+1004+1005+1006+1036+1056+1057+1053</t>
  </si>
  <si>
    <t>1007+1010+1011+1025+1026+1028+1031+1034+1050+1032+1035+1074</t>
  </si>
  <si>
    <t>1067+1068+1069+1070+1071+1072+1081</t>
  </si>
  <si>
    <t>1012+1013+1027+1029+1039+1043+1061+1063</t>
  </si>
  <si>
    <t>1014+1075</t>
  </si>
  <si>
    <t>1015+1045+1046+1091</t>
  </si>
  <si>
    <t>1016+1017</t>
  </si>
  <si>
    <t>1018+1042+1033+1077</t>
  </si>
  <si>
    <t>1019+1040+1041+1049+1058+1062</t>
  </si>
  <si>
    <t>1021+1022</t>
  </si>
  <si>
    <t>1038+1052</t>
  </si>
  <si>
    <t>1044+1048+1051+1054+1059+1060+1064+1073+1076+1078+1079+1080+1082+1084+1085+1086+1087+1088+1089+1090</t>
  </si>
  <si>
    <t>1023+1024+1055+1065+1083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</si>
  <si>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</si>
  <si>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</si>
  <si>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</si>
  <si>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</si>
  <si>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</si>
  <si>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</si>
  <si>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</si>
  <si>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</si>
  <si>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</si>
  <si>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</si>
  <si>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</si>
  <si>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</si>
  <si>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</si>
  <si>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</si>
  <si>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</si>
  <si>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</si>
  <si>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</si>
  <si>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</si>
  <si>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</si>
  <si>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</si>
  <si>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</si>
  <si>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</si>
  <si>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</si>
  <si>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</si>
  <si>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</si>
  <si>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</si>
  <si>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</si>
  <si>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</si>
  <si>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</si>
  <si>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</si>
  <si>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</si>
  <si>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</si>
  <si>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</si>
  <si>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</si>
  <si>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</si>
  <si>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</si>
  <si>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</si>
  <si>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</si>
  <si>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</si>
  <si>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</si>
  <si>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</si>
  <si>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</si>
  <si>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</si>
  <si>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</si>
  <si>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</si>
  <si>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</si>
  <si>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</si>
  <si>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</si>
  <si>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</si>
  <si>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</si>
  <si>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</si>
  <si>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</si>
  <si>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</si>
  <si>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</si>
  <si>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</si>
  <si>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</si>
  <si>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</si>
  <si>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</si>
  <si>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</si>
  <si>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</si>
  <si>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</si>
  <si>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</si>
  <si>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</si>
  <si>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</si>
  <si>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</si>
  <si>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</si>
  <si>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</si>
  <si>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</si>
  <si>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</si>
  <si>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</si>
  <si>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</si>
  <si>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</si>
  <si>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</si>
  <si>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</si>
  <si>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</si>
  <si>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</si>
  <si>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1007+1045+1049</t>
  </si>
  <si>
    <t>1008+1042</t>
  </si>
  <si>
    <t>1010+1011+1051</t>
  </si>
  <si>
    <t>1022+1054</t>
  </si>
  <si>
    <t>1014+1040</t>
  </si>
  <si>
    <t>1015+1016+1017+1020+1026+1041+1050+1058+1064+1065</t>
  </si>
  <si>
    <t>1018+1024+1057</t>
  </si>
  <si>
    <t>1035+1036</t>
  </si>
  <si>
    <t>1028+1032+1033</t>
  </si>
  <si>
    <t>1031+1059</t>
  </si>
  <si>
    <t>1055+1056+1063</t>
  </si>
  <si>
    <t>1021+1023+1047+1019+1034+1053+1062+1066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</si>
  <si>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</si>
  <si>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</si>
  <si>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</si>
  <si>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</si>
  <si>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</si>
  <si>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</si>
  <si>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</si>
  <si>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</si>
  <si>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</si>
  <si>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</si>
  <si>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</si>
  <si>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</si>
  <si>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</si>
  <si>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</si>
  <si>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</si>
  <si>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</si>
  <si>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</si>
  <si>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</si>
  <si>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</si>
  <si>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</si>
  <si>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</si>
  <si>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</si>
  <si>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</si>
  <si>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</si>
  <si>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</si>
  <si>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</si>
  <si>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</si>
  <si>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</si>
  <si>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</si>
  <si>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</si>
  <si>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</si>
  <si>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</si>
  <si>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</si>
  <si>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</si>
  <si>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</si>
  <si>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</si>
  <si>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</si>
  <si>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</si>
  <si>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</si>
  <si>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</si>
  <si>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</si>
  <si>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</si>
  <si>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</si>
  <si>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GAN GET INSTANT LOAN FROM GLOAN (NET)</t>
  </si>
  <si>
    <t>MENTIONS OF GCASH(NET)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</si>
  <si>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</si>
  <si>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</si>
  <si>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</si>
  <si>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</si>
  <si>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</si>
  <si>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</si>
  <si>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</si>
  <si>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</si>
  <si>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CAN LOAN FROM GCASH TO PAY BILLS NET (NET)</t>
  </si>
  <si>
    <t>Kaya today with Gloan</t>
  </si>
  <si>
    <t>CAN GET INSTANT LOAN IN GLOAN (NET)</t>
  </si>
  <si>
    <t>CAN GET A LOAN FROM GLOAN TO PAY FOR EXPENSES OR AUGMENT INCOME (NET)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</si>
  <si>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</si>
  <si>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</si>
  <si>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</si>
  <si>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</si>
  <si>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</si>
  <si>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</si>
  <si>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</si>
  <si>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</si>
  <si>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</si>
  <si>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2327+2328+2340+2341+2365+2366+2368+2373+2374+2377+2403+2404+2405+2395</t>
  </si>
  <si>
    <t>2396+2397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</si>
</sst>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0"/>
      <color rgb="FF000000"/>
      <name val="Arial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6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  <xf numFmtId="0" fontId="40" fillId="0" borderId="0"/>
  </cellStyleXfs>
  <cellXfs count="182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5" borderId="0" xfId="0" applyFont="1" applyFill="1" applyAlignment="1">
      <alignment horizontal="center" vertical="center"/>
    </xf>
    <xf numFmtId="0" fontId="4" fillId="45" borderId="0" xfId="0" applyFont="1" applyFill="1" applyAlignment="1">
      <alignment horizontal="left" vertical="center"/>
    </xf>
    <xf numFmtId="0" fontId="4" fillId="45" borderId="0" xfId="0" applyFont="1" applyFill="1" applyAlignment="1">
      <alignment horizontal="center" vertical="center" wrapText="1"/>
    </xf>
    <xf numFmtId="0" fontId="4" fillId="45" borderId="0" xfId="0" applyFont="1" applyFill="1" applyAlignment="1">
      <alignment horizontal="left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9" fillId="2" borderId="0" xfId="113" applyFont="1" applyFill="1" applyAlignment="1">
      <alignment horizontal="left" vertical="center" wrapText="1"/>
    </xf>
    <xf numFmtId="0" fontId="4" fillId="0" borderId="0" xfId="113" applyFont="1" applyAlignment="1">
      <alignment horizontal="left" vertical="center" wrapText="1"/>
    </xf>
    <xf numFmtId="0" fontId="4" fillId="46" borderId="0" xfId="113" quotePrefix="1" applyFont="1" applyFill="1" applyAlignment="1">
      <alignment horizontal="center" vertical="center" wrapText="1"/>
    </xf>
    <xf numFmtId="0" fontId="4" fillId="46" borderId="0" xfId="113" quotePrefix="1" applyFont="1" applyFill="1" applyAlignment="1">
      <alignment horizontal="left" vertical="center" wrapText="1"/>
    </xf>
    <xf numFmtId="0" fontId="4" fillId="47" borderId="0" xfId="113" quotePrefix="1" applyFont="1" applyFill="1" applyAlignment="1">
      <alignment horizontal="center" vertical="center" wrapText="1"/>
    </xf>
    <xf numFmtId="0" fontId="4" fillId="47" borderId="0" xfId="113" quotePrefix="1" applyFont="1" applyFill="1" applyAlignment="1">
      <alignment horizontal="left" vertical="center" wrapText="1"/>
    </xf>
    <xf numFmtId="0" fontId="4" fillId="46" borderId="0" xfId="113" applyFont="1" applyFill="1" applyAlignment="1">
      <alignment horizontal="center" vertical="center" wrapText="1"/>
    </xf>
    <xf numFmtId="0" fontId="4" fillId="46" borderId="0" xfId="113" applyFont="1" applyFill="1" applyAlignment="1">
      <alignment horizontal="left" vertical="center" wrapText="1"/>
    </xf>
    <xf numFmtId="0" fontId="4" fillId="47" borderId="0" xfId="113" applyFont="1" applyFill="1" applyAlignment="1">
      <alignment horizontal="center" vertical="center" wrapText="1"/>
    </xf>
    <xf numFmtId="0" fontId="4" fillId="47" borderId="0" xfId="113" applyFont="1" applyFill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4" fillId="47" borderId="0" xfId="113" applyFont="1" applyFill="1" applyAlignment="1">
      <alignment vertical="center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39" fillId="46" borderId="0" xfId="113" applyFont="1" applyFill="1" applyAlignment="1">
      <alignment horizontal="left" vertical="center" wrapText="1"/>
    </xf>
    <xf numFmtId="0" fontId="39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left" vertical="top" wrapText="1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13" fillId="7" borderId="1" xfId="8" applyFont="1" applyFill="1" applyBorder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0" xfId="8" applyFont="1" applyAlignment="1">
      <alignment horizontal="center" vertical="center" wrapText="1"/>
    </xf>
    <xf numFmtId="0" fontId="14" fillId="0" borderId="0" xfId="8" applyFont="1" applyAlignment="1">
      <alignment horizontal="center" vertical="center"/>
    </xf>
    <xf numFmtId="0" fontId="4" fillId="11" borderId="0" xfId="8" applyFont="1" applyFill="1" applyAlignment="1">
      <alignment horizontal="left" vertical="center" wrapText="1"/>
    </xf>
    <xf numFmtId="0" fontId="4" fillId="11" borderId="0" xfId="8" applyFont="1" applyFill="1" applyAlignment="1">
      <alignment horizontal="center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center" vertical="center" wrapText="1"/>
    </xf>
    <xf numFmtId="0" fontId="14" fillId="11" borderId="0" xfId="8" applyFont="1" applyFill="1" applyAlignment="1">
      <alignment horizontal="center" vertical="center"/>
    </xf>
    <xf numFmtId="0" fontId="4" fillId="10" borderId="0" xfId="8" applyFont="1" applyFill="1" applyAlignment="1">
      <alignment horizontal="left" vertical="center" wrapText="1"/>
    </xf>
    <xf numFmtId="0" fontId="14" fillId="10" borderId="0" xfId="8" applyFont="1" applyFill="1" applyAlignment="1">
      <alignment horizontal="center" vertical="center"/>
    </xf>
    <xf numFmtId="0" fontId="4" fillId="10" borderId="0" xfId="8" applyFont="1" applyFill="1" applyAlignment="1">
      <alignment horizontal="center" vertical="center" wrapText="1"/>
    </xf>
    <xf numFmtId="0" fontId="4" fillId="0" borderId="0" xfId="8" applyFont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13" fillId="7" borderId="1" xfId="8" applyFont="1" applyFill="1" applyBorder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0" xfId="8" applyFont="1" applyAlignment="1">
      <alignment horizontal="center" vertical="center" wrapText="1"/>
    </xf>
    <xf numFmtId="0" fontId="14" fillId="0" borderId="0" xfId="8" applyFont="1" applyAlignment="1">
      <alignment horizontal="center" vertical="center"/>
    </xf>
    <xf numFmtId="0" fontId="4" fillId="11" borderId="0" xfId="8" applyFont="1" applyFill="1" applyAlignment="1">
      <alignment horizontal="left" vertical="center" wrapText="1"/>
    </xf>
    <xf numFmtId="0" fontId="4" fillId="11" borderId="0" xfId="8" applyFont="1" applyFill="1" applyAlignment="1">
      <alignment horizontal="center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center" vertical="center" wrapText="1"/>
    </xf>
    <xf numFmtId="0" fontId="14" fillId="11" borderId="0" xfId="8" applyFont="1" applyFill="1" applyAlignment="1">
      <alignment horizontal="center" vertical="center"/>
    </xf>
    <xf numFmtId="0" fontId="4" fillId="11" borderId="0" xfId="8" applyFont="1" applyFill="1" applyAlignment="1">
      <alignment horizontal="center" vertical="center"/>
    </xf>
    <xf numFmtId="0" fontId="4" fillId="10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left" vertical="center" wrapText="1"/>
    </xf>
  </cellXfs>
  <cellStyles count="146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1" xfId="145" xr:uid="{26DFCA6D-FC49-453A-BA6E-1F59C194B8BA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2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213" priority="8"/>
    <cfRule type="duplicateValues" dxfId="212" priority="9"/>
  </conditionalFormatting>
  <conditionalFormatting sqref="A31:A33">
    <cfRule type="duplicateValues" dxfId="211" priority="34"/>
    <cfRule type="duplicateValues" dxfId="210" priority="36"/>
    <cfRule type="duplicateValues" dxfId="209" priority="38"/>
  </conditionalFormatting>
  <conditionalFormatting sqref="A34:A36">
    <cfRule type="duplicateValues" dxfId="208" priority="63"/>
    <cfRule type="duplicateValues" dxfId="207" priority="64"/>
    <cfRule type="duplicateValues" dxfId="206" priority="65"/>
    <cfRule type="duplicateValues" dxfId="205" priority="66"/>
  </conditionalFormatting>
  <conditionalFormatting sqref="A63:A64">
    <cfRule type="duplicateValues" dxfId="204" priority="46"/>
    <cfRule type="duplicateValues" dxfId="203" priority="48"/>
    <cfRule type="duplicateValues" dxfId="202" priority="50"/>
  </conditionalFormatting>
  <conditionalFormatting sqref="A111">
    <cfRule type="duplicateValues" dxfId="201" priority="28"/>
    <cfRule type="duplicateValues" dxfId="200" priority="30"/>
    <cfRule type="duplicateValues" dxfId="199" priority="32"/>
  </conditionalFormatting>
  <conditionalFormatting sqref="A140:A142 A112">
    <cfRule type="duplicateValues" dxfId="198" priority="10"/>
    <cfRule type="duplicateValues" dxfId="197" priority="11"/>
    <cfRule type="duplicateValues" dxfId="196" priority="13"/>
    <cfRule type="duplicateValues" dxfId="195" priority="15"/>
    <cfRule type="duplicateValues" dxfId="194" priority="17"/>
  </conditionalFormatting>
  <conditionalFormatting sqref="A222:A262 A143:A220 A105:A111 A113:A139 A2:A102">
    <cfRule type="duplicateValues" dxfId="193" priority="18"/>
  </conditionalFormatting>
  <conditionalFormatting sqref="A167:A168">
    <cfRule type="duplicateValues" dxfId="192" priority="40"/>
    <cfRule type="duplicateValues" dxfId="191" priority="42"/>
    <cfRule type="duplicateValues" dxfId="190" priority="44"/>
  </conditionalFormatting>
  <conditionalFormatting sqref="A218:A219">
    <cfRule type="duplicateValues" dxfId="189" priority="19"/>
    <cfRule type="duplicateValues" dxfId="188" priority="21"/>
    <cfRule type="duplicateValues" dxfId="187" priority="23"/>
    <cfRule type="duplicateValues" dxfId="186" priority="25"/>
  </conditionalFormatting>
  <conditionalFormatting sqref="A220 A97:A102 A65">
    <cfRule type="duplicateValues" dxfId="185" priority="57"/>
    <cfRule type="duplicateValues" dxfId="184" priority="58"/>
    <cfRule type="duplicateValues" dxfId="183" priority="59"/>
  </conditionalFormatting>
  <conditionalFormatting sqref="A221 A103:A104">
    <cfRule type="duplicateValues" dxfId="182" priority="70"/>
    <cfRule type="duplicateValues" dxfId="181" priority="71"/>
    <cfRule type="duplicateValues" dxfId="180" priority="72"/>
    <cfRule type="duplicateValues" dxfId="179" priority="73"/>
    <cfRule type="duplicateValues" dxfId="178" priority="74"/>
  </conditionalFormatting>
  <conditionalFormatting sqref="A222:A262 A220 A37:A102 A2:A33 A105:A111 A113:A139 A143:A217">
    <cfRule type="duplicateValues" dxfId="177" priority="26"/>
  </conditionalFormatting>
  <conditionalFormatting sqref="A226:A262 A222:A224 A169:A217 A66:A96 A2:A30 A37:A62 A105:A110 A113:A139 A143:A166">
    <cfRule type="duplicateValues" dxfId="176" priority="52"/>
    <cfRule type="duplicateValues" dxfId="175" priority="54"/>
  </conditionalFormatting>
  <conditionalFormatting sqref="A260:A262 A226:A258 A222:A224 A2:A30 A66:A96 A169:A217 A37:A62 A105:A110 A113:A139 A143:A166">
    <cfRule type="duplicateValues" dxfId="174" priority="56"/>
  </conditionalFormatting>
  <conditionalFormatting sqref="B31:B33">
    <cfRule type="duplicateValues" dxfId="173" priority="33"/>
    <cfRule type="duplicateValues" dxfId="172" priority="35"/>
    <cfRule type="duplicateValues" dxfId="171" priority="37"/>
  </conditionalFormatting>
  <conditionalFormatting sqref="B34:B36">
    <cfRule type="duplicateValues" dxfId="170" priority="67"/>
    <cfRule type="duplicateValues" dxfId="169" priority="68"/>
    <cfRule type="duplicateValues" dxfId="168" priority="69"/>
  </conditionalFormatting>
  <conditionalFormatting sqref="B63:B64">
    <cfRule type="duplicateValues" dxfId="167" priority="45"/>
    <cfRule type="duplicateValues" dxfId="166" priority="47"/>
    <cfRule type="duplicateValues" dxfId="165" priority="49"/>
  </conditionalFormatting>
  <conditionalFormatting sqref="B111">
    <cfRule type="duplicateValues" dxfId="164" priority="27"/>
    <cfRule type="duplicateValues" dxfId="163" priority="29"/>
    <cfRule type="duplicateValues" dxfId="162" priority="31"/>
  </conditionalFormatting>
  <conditionalFormatting sqref="B140:B142 B112">
    <cfRule type="duplicateValues" dxfId="161" priority="12"/>
    <cfRule type="duplicateValues" dxfId="160" priority="14"/>
    <cfRule type="duplicateValues" dxfId="159" priority="16"/>
  </conditionalFormatting>
  <conditionalFormatting sqref="B167:B168">
    <cfRule type="duplicateValues" dxfId="158" priority="39"/>
    <cfRule type="duplicateValues" dxfId="157" priority="41"/>
    <cfRule type="duplicateValues" dxfId="156" priority="43"/>
  </conditionalFormatting>
  <conditionalFormatting sqref="B218:B219">
    <cfRule type="duplicateValues" dxfId="155" priority="20"/>
    <cfRule type="duplicateValues" dxfId="154" priority="22"/>
    <cfRule type="duplicateValues" dxfId="153" priority="24"/>
  </conditionalFormatting>
  <conditionalFormatting sqref="B220 B97:B102 B65">
    <cfRule type="duplicateValues" dxfId="152" priority="60"/>
    <cfRule type="duplicateValues" dxfId="151" priority="61"/>
    <cfRule type="duplicateValues" dxfId="150" priority="62"/>
  </conditionalFormatting>
  <conditionalFormatting sqref="B221 B103:B104">
    <cfRule type="duplicateValues" dxfId="149" priority="75"/>
    <cfRule type="duplicateValues" dxfId="148" priority="76"/>
    <cfRule type="duplicateValues" dxfId="147" priority="77"/>
  </conditionalFormatting>
  <conditionalFormatting sqref="B226:B262 B222:B224 B169:B217 B66:B96 B2:B30 B37:B62 B105:B110 B113:B139 B143:B166">
    <cfRule type="duplicateValues" dxfId="146" priority="51"/>
    <cfRule type="duplicateValues" dxfId="145" priority="53"/>
    <cfRule type="duplicateValues" dxfId="144" priority="55"/>
  </conditionalFormatting>
  <conditionalFormatting sqref="A225">
    <cfRule type="duplicateValues" dxfId="143" priority="3"/>
    <cfRule type="duplicateValues" dxfId="142" priority="5"/>
    <cfRule type="duplicateValues" dxfId="141" priority="7"/>
  </conditionalFormatting>
  <conditionalFormatting sqref="B225">
    <cfRule type="duplicateValues" dxfId="140" priority="2"/>
    <cfRule type="duplicateValues" dxfId="139" priority="4"/>
    <cfRule type="duplicateValues" dxfId="138" priority="6"/>
  </conditionalFormatting>
  <conditionalFormatting sqref="A259">
    <cfRule type="duplicateValues" dxfId="137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136" priority="6"/>
  </conditionalFormatting>
  <conditionalFormatting sqref="B133 B136:B149 B114:B130 B87:B110 B43:B85 B20:B40 B8:B13 B1:B6">
    <cfRule type="duplicateValues" dxfId="135" priority="5"/>
  </conditionalFormatting>
  <conditionalFormatting sqref="A14:A19">
    <cfRule type="duplicateValues" dxfId="134" priority="3"/>
  </conditionalFormatting>
  <conditionalFormatting sqref="B14:B19">
    <cfRule type="duplicateValues" dxfId="133" priority="4"/>
  </conditionalFormatting>
  <conditionalFormatting sqref="G1">
    <cfRule type="duplicateValues" dxfId="132" priority="2"/>
  </conditionalFormatting>
  <conditionalFormatting sqref="H1">
    <cfRule type="duplicateValues" dxfId="13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D26"/>
  <sheetViews>
    <sheetView workbookViewId="0">
      <selection activeCell="A14" sqref="A14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4" x14ac:dyDescent="0.25">
      <c r="A1" t="s">
        <v>324</v>
      </c>
      <c r="B1" t="s">
        <v>524</v>
      </c>
      <c r="C1" t="s">
        <v>525</v>
      </c>
      <c r="D1" t="s">
        <v>526</v>
      </c>
    </row>
    <row r="2" spans="1:4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4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4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4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4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4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4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4" x14ac:dyDescent="0.25">
      <c r="A9" s="38" t="s">
        <v>326</v>
      </c>
      <c r="B9" s="38" t="s">
        <v>326</v>
      </c>
      <c r="C9" s="38"/>
      <c r="D9" s="38" t="s">
        <v>521</v>
      </c>
    </row>
    <row r="10" spans="1:4" x14ac:dyDescent="0.25">
      <c r="A10" s="39" t="s">
        <v>328</v>
      </c>
      <c r="B10" s="39" t="s">
        <v>326</v>
      </c>
      <c r="C10" s="39" t="s">
        <v>327</v>
      </c>
      <c r="D10" s="39" t="s">
        <v>528</v>
      </c>
    </row>
    <row r="11" spans="1:4" x14ac:dyDescent="0.25">
      <c r="A11" s="39" t="s">
        <v>328</v>
      </c>
      <c r="B11" s="39" t="s">
        <v>326</v>
      </c>
      <c r="C11" s="39" t="s">
        <v>328</v>
      </c>
      <c r="D11" s="39" t="s">
        <v>528</v>
      </c>
    </row>
    <row r="12" spans="1:4" x14ac:dyDescent="0.25">
      <c r="A12" s="39" t="s">
        <v>328</v>
      </c>
      <c r="B12" s="39" t="s">
        <v>329</v>
      </c>
      <c r="C12" s="39" t="s">
        <v>329</v>
      </c>
      <c r="D12" s="39" t="s">
        <v>527</v>
      </c>
    </row>
    <row r="13" spans="1:4" x14ac:dyDescent="0.25">
      <c r="A13" s="39" t="s">
        <v>328</v>
      </c>
      <c r="B13" s="39" t="s">
        <v>328</v>
      </c>
      <c r="C13" s="39" t="s">
        <v>329</v>
      </c>
      <c r="D13" s="39" t="s">
        <v>527</v>
      </c>
    </row>
    <row r="14" spans="1:4" x14ac:dyDescent="0.25">
      <c r="A14" s="39" t="s">
        <v>328</v>
      </c>
      <c r="B14" s="39" t="s">
        <v>328</v>
      </c>
      <c r="C14" s="39" t="s">
        <v>328</v>
      </c>
      <c r="D14" s="39" t="s">
        <v>527</v>
      </c>
    </row>
    <row r="15" spans="1:4" x14ac:dyDescent="0.25">
      <c r="A15" s="39" t="s">
        <v>328</v>
      </c>
      <c r="B15" s="39" t="s">
        <v>326</v>
      </c>
      <c r="C15" s="39" t="s">
        <v>326</v>
      </c>
      <c r="D15" s="39" t="s">
        <v>527</v>
      </c>
    </row>
    <row r="16" spans="1:4" x14ac:dyDescent="0.25">
      <c r="A16" s="39" t="s">
        <v>328</v>
      </c>
      <c r="B16" s="39" t="s">
        <v>326</v>
      </c>
      <c r="C16" s="39" t="s">
        <v>327</v>
      </c>
      <c r="D16" s="39" t="s">
        <v>527</v>
      </c>
    </row>
    <row r="17" spans="1:4" x14ac:dyDescent="0.25">
      <c r="A17" s="39" t="s">
        <v>328</v>
      </c>
      <c r="B17" s="39" t="s">
        <v>328</v>
      </c>
      <c r="C17" s="39" t="s">
        <v>327</v>
      </c>
      <c r="D17" s="39" t="s">
        <v>529</v>
      </c>
    </row>
    <row r="18" spans="1:4" x14ac:dyDescent="0.25">
      <c r="A18" s="39" t="s">
        <v>328</v>
      </c>
      <c r="B18" s="39" t="s">
        <v>328</v>
      </c>
      <c r="C18" s="39" t="s">
        <v>326</v>
      </c>
      <c r="D18" s="39" t="s">
        <v>529</v>
      </c>
    </row>
    <row r="19" spans="1:4" x14ac:dyDescent="0.25">
      <c r="A19" s="40" t="s">
        <v>329</v>
      </c>
      <c r="B19" s="40" t="s">
        <v>328</v>
      </c>
      <c r="C19" s="40" t="s">
        <v>329</v>
      </c>
      <c r="D19" s="40" t="s">
        <v>530</v>
      </c>
    </row>
    <row r="20" spans="1:4" x14ac:dyDescent="0.25">
      <c r="A20" s="40" t="s">
        <v>329</v>
      </c>
      <c r="B20" s="40" t="s">
        <v>329</v>
      </c>
      <c r="C20" s="40" t="s">
        <v>329</v>
      </c>
      <c r="D20" s="40" t="s">
        <v>532</v>
      </c>
    </row>
    <row r="21" spans="1:4" x14ac:dyDescent="0.25">
      <c r="A21" s="40" t="s">
        <v>329</v>
      </c>
      <c r="B21" s="40" t="s">
        <v>328</v>
      </c>
      <c r="C21" s="40" t="s">
        <v>328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326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327</v>
      </c>
      <c r="D23" s="40" t="s">
        <v>532</v>
      </c>
    </row>
    <row r="24" spans="1:4" x14ac:dyDescent="0.25">
      <c r="A24" s="40" t="s">
        <v>329</v>
      </c>
      <c r="B24" s="40" t="s">
        <v>329</v>
      </c>
      <c r="C24" s="40" t="s">
        <v>328</v>
      </c>
      <c r="D24" s="40" t="s">
        <v>531</v>
      </c>
    </row>
    <row r="25" spans="1:4" x14ac:dyDescent="0.25">
      <c r="A25" s="40" t="s">
        <v>329</v>
      </c>
      <c r="B25" s="40" t="s">
        <v>329</v>
      </c>
      <c r="C25" s="40" t="s">
        <v>326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327</v>
      </c>
      <c r="D26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130" priority="5"/>
    <cfRule type="duplicateValues" dxfId="129" priority="6"/>
  </conditionalFormatting>
  <conditionalFormatting sqref="A36:A37">
    <cfRule type="duplicateValues" dxfId="128" priority="3"/>
  </conditionalFormatting>
  <conditionalFormatting sqref="A36:B36">
    <cfRule type="duplicateValues" dxfId="127" priority="2"/>
  </conditionalFormatting>
  <conditionalFormatting sqref="A37:B37">
    <cfRule type="duplicateValues" dxfId="126" priority="1"/>
  </conditionalFormatting>
  <conditionalFormatting sqref="B34">
    <cfRule type="duplicateValues" dxfId="125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dimension ref="A1:J123"/>
  <sheetViews>
    <sheetView workbookViewId="0">
      <selection activeCell="I123" sqref="G1:I123"/>
    </sheetView>
  </sheetViews>
  <sheetFormatPr defaultRowHeight="15" x14ac:dyDescent="0.25"/>
  <cols>
    <col min="1" max="1" width="39.140625" customWidth="1"/>
    <col min="2" max="2" width="51.85546875" customWidth="1"/>
    <col min="8" max="8" width="24.7109375" customWidth="1"/>
    <col min="9" max="9" width="32.57031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02" t="s">
        <v>933</v>
      </c>
      <c r="B2" s="103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2100+2101+2102+2103+2185+2186+2187+2172+2147+2148+2164+2165</v>
      </c>
      <c r="H2" t="str">
        <f t="shared" ref="H2:H33" si="1">_xlfn.CONCAT(D2,SUBSTITUTE(B2,"""","`"""),E2)</f>
        <v>`FOR ONLINE GAMING (NET)&lt;Q&gt;</v>
      </c>
      <c r="I2" t="s">
        <v>518</v>
      </c>
      <c r="J2" t="str">
        <f t="shared" ref="J2:J33" si="2">_xlfn.CONCAT(I2,H2)</f>
        <v>&lt;G1B&gt;`FOR ONLINE GAMING (NET)&lt;Q&gt;</v>
      </c>
    </row>
    <row r="3" spans="1:10" x14ac:dyDescent="0.25">
      <c r="A3" s="102">
        <v>2100</v>
      </c>
      <c r="B3" s="104" t="s">
        <v>833</v>
      </c>
      <c r="C3" t="s">
        <v>16</v>
      </c>
      <c r="D3" t="s">
        <v>318</v>
      </c>
      <c r="F3" t="s">
        <v>326</v>
      </c>
      <c r="G3">
        <f t="shared" si="0"/>
        <v>2100</v>
      </c>
      <c r="H3" t="str">
        <f t="shared" si="1"/>
        <v>`     Can use GCash for online games</v>
      </c>
      <c r="I3" t="s">
        <v>520</v>
      </c>
      <c r="J3" t="str">
        <f t="shared" si="2"/>
        <v>&lt;G2B&gt;&lt;G1P&gt;`     Can use GCash for online games</v>
      </c>
    </row>
    <row r="4" spans="1:10" x14ac:dyDescent="0.25">
      <c r="A4" s="102">
        <v>2101</v>
      </c>
      <c r="B4" s="104" t="s">
        <v>834</v>
      </c>
      <c r="C4" t="s">
        <v>16</v>
      </c>
      <c r="D4" t="s">
        <v>318</v>
      </c>
      <c r="F4" t="s">
        <v>326</v>
      </c>
      <c r="G4">
        <f t="shared" si="0"/>
        <v>2101</v>
      </c>
      <c r="H4" t="str">
        <f t="shared" si="1"/>
        <v>`     Playing online games using GCash</v>
      </c>
      <c r="I4" t="s">
        <v>522</v>
      </c>
      <c r="J4" t="str">
        <f t="shared" si="2"/>
        <v>&lt;G1P&gt;`     Playing online games using GCash</v>
      </c>
    </row>
    <row r="5" spans="1:10" x14ac:dyDescent="0.25">
      <c r="A5" s="102">
        <v>2102</v>
      </c>
      <c r="B5" s="104" t="s">
        <v>835</v>
      </c>
      <c r="C5" t="s">
        <v>16</v>
      </c>
      <c r="D5" t="s">
        <v>318</v>
      </c>
      <c r="F5" t="s">
        <v>326</v>
      </c>
      <c r="G5">
        <f t="shared" si="0"/>
        <v>2102</v>
      </c>
      <c r="H5" t="str">
        <f t="shared" si="1"/>
        <v>`     Online games</v>
      </c>
      <c r="I5" t="s">
        <v>522</v>
      </c>
      <c r="J5" t="str">
        <f t="shared" si="2"/>
        <v>&lt;G1P&gt;`     Online games</v>
      </c>
    </row>
    <row r="6" spans="1:10" x14ac:dyDescent="0.25">
      <c r="A6" s="102">
        <v>2103</v>
      </c>
      <c r="B6" s="104" t="s">
        <v>836</v>
      </c>
      <c r="C6" t="s">
        <v>16</v>
      </c>
      <c r="D6" t="s">
        <v>318</v>
      </c>
      <c r="F6" t="s">
        <v>326</v>
      </c>
      <c r="G6">
        <f t="shared" si="0"/>
        <v>2103</v>
      </c>
      <c r="H6" t="str">
        <f t="shared" si="1"/>
        <v>`     More comfortable to use the load for gaming</v>
      </c>
      <c r="I6" t="s">
        <v>522</v>
      </c>
      <c r="J6" t="str">
        <f t="shared" si="2"/>
        <v>&lt;G1P&gt;`     More comfortable to use the load for gaming</v>
      </c>
    </row>
    <row r="7" spans="1:10" x14ac:dyDescent="0.25">
      <c r="A7" s="105">
        <v>2185</v>
      </c>
      <c r="B7" s="106" t="s">
        <v>837</v>
      </c>
      <c r="C7" t="s">
        <v>16</v>
      </c>
      <c r="D7" t="s">
        <v>318</v>
      </c>
      <c r="F7" t="s">
        <v>326</v>
      </c>
      <c r="G7">
        <f t="shared" si="0"/>
        <v>2185</v>
      </c>
      <c r="H7" t="str">
        <f t="shared" si="1"/>
        <v>`     Playing games</v>
      </c>
      <c r="I7" t="s">
        <v>522</v>
      </c>
      <c r="J7" t="str">
        <f t="shared" si="2"/>
        <v>&lt;G1P&gt;`     Playing games</v>
      </c>
    </row>
    <row r="8" spans="1:10" x14ac:dyDescent="0.25">
      <c r="A8" s="105">
        <v>2186</v>
      </c>
      <c r="B8" s="106" t="s">
        <v>838</v>
      </c>
      <c r="C8" t="s">
        <v>16</v>
      </c>
      <c r="D8" t="s">
        <v>318</v>
      </c>
      <c r="F8" t="s">
        <v>326</v>
      </c>
      <c r="G8">
        <f t="shared" si="0"/>
        <v>2186</v>
      </c>
      <c r="H8" t="str">
        <f t="shared" si="1"/>
        <v>`     Playing online games</v>
      </c>
      <c r="I8" t="s">
        <v>522</v>
      </c>
      <c r="J8" t="str">
        <f t="shared" si="2"/>
        <v>&lt;G1P&gt;`     Playing online games</v>
      </c>
    </row>
    <row r="9" spans="1:10" x14ac:dyDescent="0.25">
      <c r="A9" s="105">
        <v>2187</v>
      </c>
      <c r="B9" s="106" t="s">
        <v>839</v>
      </c>
      <c r="C9" t="s">
        <v>16</v>
      </c>
      <c r="D9" t="s">
        <v>318</v>
      </c>
      <c r="F9" t="s">
        <v>326</v>
      </c>
      <c r="G9">
        <f t="shared" si="0"/>
        <v>2187</v>
      </c>
      <c r="H9" t="str">
        <f t="shared" si="1"/>
        <v>`     Can buy load for online gaming</v>
      </c>
      <c r="I9" t="s">
        <v>522</v>
      </c>
      <c r="J9" t="str">
        <f t="shared" si="2"/>
        <v>&lt;G1P&gt;`     Can buy load for online gaming</v>
      </c>
    </row>
    <row r="10" spans="1:10" x14ac:dyDescent="0.25">
      <c r="A10" s="107">
        <v>2172</v>
      </c>
      <c r="B10" s="108" t="s">
        <v>840</v>
      </c>
      <c r="C10" t="s">
        <v>16</v>
      </c>
      <c r="D10" t="s">
        <v>318</v>
      </c>
      <c r="F10" t="s">
        <v>326</v>
      </c>
      <c r="G10">
        <f t="shared" si="0"/>
        <v>2172</v>
      </c>
      <c r="H10" t="str">
        <f t="shared" si="1"/>
        <v>`     Happy playing online game</v>
      </c>
      <c r="I10" t="s">
        <v>522</v>
      </c>
      <c r="J10" t="str">
        <f t="shared" si="2"/>
        <v>&lt;G1P&gt;`     Happy playing online game</v>
      </c>
    </row>
    <row r="11" spans="1:10" x14ac:dyDescent="0.25">
      <c r="A11" s="105">
        <v>2147</v>
      </c>
      <c r="B11" s="106" t="s">
        <v>793</v>
      </c>
      <c r="C11" t="s">
        <v>16</v>
      </c>
      <c r="D11" t="s">
        <v>318</v>
      </c>
      <c r="F11" t="s">
        <v>326</v>
      </c>
      <c r="G11">
        <f t="shared" si="0"/>
        <v>2147</v>
      </c>
      <c r="H11" t="str">
        <f t="shared" si="1"/>
        <v>`     Playing</v>
      </c>
      <c r="I11" t="s">
        <v>522</v>
      </c>
      <c r="J11" t="str">
        <f t="shared" si="2"/>
        <v>&lt;G1P&gt;`     Playing</v>
      </c>
    </row>
    <row r="12" spans="1:10" x14ac:dyDescent="0.25">
      <c r="A12" s="105">
        <v>2148</v>
      </c>
      <c r="B12" s="106" t="s">
        <v>841</v>
      </c>
      <c r="C12" t="s">
        <v>16</v>
      </c>
      <c r="D12" t="s">
        <v>318</v>
      </c>
      <c r="F12" t="s">
        <v>326</v>
      </c>
      <c r="G12">
        <f t="shared" si="0"/>
        <v>2148</v>
      </c>
      <c r="H12" t="str">
        <f t="shared" si="1"/>
        <v>`     Playing during break</v>
      </c>
      <c r="I12" t="s">
        <v>522</v>
      </c>
      <c r="J12" t="str">
        <f t="shared" si="2"/>
        <v>&lt;G1P&gt;`     Playing during break</v>
      </c>
    </row>
    <row r="13" spans="1:10" x14ac:dyDescent="0.25">
      <c r="A13" s="105">
        <v>2164</v>
      </c>
      <c r="B13" s="106" t="s">
        <v>842</v>
      </c>
      <c r="C13" t="s">
        <v>16</v>
      </c>
      <c r="D13" t="s">
        <v>318</v>
      </c>
      <c r="F13" t="s">
        <v>326</v>
      </c>
      <c r="G13">
        <f t="shared" si="0"/>
        <v>2164</v>
      </c>
      <c r="H13" t="str">
        <f t="shared" si="1"/>
        <v>`     Playing on cellphone</v>
      </c>
      <c r="I13" t="s">
        <v>522</v>
      </c>
      <c r="J13" t="str">
        <f t="shared" si="2"/>
        <v>&lt;G1P&gt;`     Playing on cellphone</v>
      </c>
    </row>
    <row r="14" spans="1:10" x14ac:dyDescent="0.25">
      <c r="A14" s="105">
        <v>2165</v>
      </c>
      <c r="B14" s="106" t="s">
        <v>843</v>
      </c>
      <c r="C14" t="s">
        <v>16</v>
      </c>
      <c r="D14" t="s">
        <v>318</v>
      </c>
      <c r="F14" t="s">
        <v>326</v>
      </c>
      <c r="G14">
        <f t="shared" si="0"/>
        <v>2165</v>
      </c>
      <c r="H14" t="str">
        <f t="shared" si="1"/>
        <v>`     Playing online games on cellphone</v>
      </c>
      <c r="I14" t="s">
        <v>521</v>
      </c>
      <c r="J14" t="str">
        <f t="shared" si="2"/>
        <v>&lt;G2E&gt;&lt;G1P&gt;`     Playing online games on cellphone</v>
      </c>
    </row>
    <row r="15" spans="1:10" ht="15.75" x14ac:dyDescent="0.25">
      <c r="A15" s="102" t="s">
        <v>934</v>
      </c>
      <c r="B15" s="103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 t="shared" si="0"/>
        <v>2104+2140+2163</v>
      </c>
      <c r="H15" t="str">
        <f t="shared" si="1"/>
        <v>`CONVENIENCE (NET)&lt;Q&gt;</v>
      </c>
      <c r="J15" t="str">
        <f t="shared" si="2"/>
        <v>`CONVENIENCE (NET)&lt;Q&gt;</v>
      </c>
    </row>
    <row r="16" spans="1:10" ht="28.5" x14ac:dyDescent="0.25">
      <c r="A16" s="102">
        <v>2104</v>
      </c>
      <c r="B16" s="104" t="s">
        <v>844</v>
      </c>
      <c r="C16" t="s">
        <v>16</v>
      </c>
      <c r="D16" t="s">
        <v>318</v>
      </c>
      <c r="F16" t="s">
        <v>326</v>
      </c>
      <c r="G16">
        <f t="shared" si="0"/>
        <v>2104</v>
      </c>
      <c r="H16" t="str">
        <f t="shared" si="1"/>
        <v>`     More convenient to use because you don't need to go out any more</v>
      </c>
      <c r="I16" t="s">
        <v>520</v>
      </c>
      <c r="J16" t="str">
        <f t="shared" si="2"/>
        <v>&lt;G2B&gt;&lt;G1P&gt;`     More convenient to use because you don't need to go out any more</v>
      </c>
    </row>
    <row r="17" spans="1:10" x14ac:dyDescent="0.25">
      <c r="A17" s="105">
        <v>2140</v>
      </c>
      <c r="B17" s="106" t="s">
        <v>845</v>
      </c>
      <c r="C17" t="s">
        <v>16</v>
      </c>
      <c r="D17" t="s">
        <v>318</v>
      </c>
      <c r="F17" t="s">
        <v>326</v>
      </c>
      <c r="G17">
        <f t="shared" si="0"/>
        <v>2140</v>
      </c>
      <c r="H17" t="str">
        <f t="shared" si="1"/>
        <v>`     Convenient to use GCash</v>
      </c>
      <c r="I17" t="s">
        <v>522</v>
      </c>
      <c r="J17" t="str">
        <f t="shared" si="2"/>
        <v>&lt;G1P&gt;`     Convenient to use GCash</v>
      </c>
    </row>
    <row r="18" spans="1:10" x14ac:dyDescent="0.25">
      <c r="A18" s="105">
        <v>2163</v>
      </c>
      <c r="B18" s="106" t="s">
        <v>846</v>
      </c>
      <c r="C18" t="s">
        <v>16</v>
      </c>
      <c r="D18" t="s">
        <v>318</v>
      </c>
      <c r="F18" t="s">
        <v>326</v>
      </c>
      <c r="G18">
        <f t="shared" si="0"/>
        <v>2163</v>
      </c>
      <c r="H18" t="str">
        <f t="shared" si="1"/>
        <v>`     No need to wait on long queue in loading</v>
      </c>
      <c r="I18" t="s">
        <v>521</v>
      </c>
      <c r="J18" t="str">
        <f t="shared" si="2"/>
        <v>&lt;G2E&gt;&lt;G1P&gt;`     No need to wait on long queue in loading</v>
      </c>
    </row>
    <row r="19" spans="1:10" ht="42.75" x14ac:dyDescent="0.25">
      <c r="A19" s="102" t="s">
        <v>935</v>
      </c>
      <c r="B19" s="103" t="s">
        <v>847</v>
      </c>
      <c r="C19" t="s">
        <v>6</v>
      </c>
      <c r="D19" t="s">
        <v>323</v>
      </c>
      <c r="E19" t="s">
        <v>322</v>
      </c>
      <c r="F19" t="s">
        <v>327</v>
      </c>
      <c r="G19" t="str">
        <f t="shared" si="0"/>
        <v>2105+2106+2107+2108+2156+2109+2110+2111+2161+2173+2174+2176+2177+2183+2158+2170</v>
      </c>
      <c r="H19" t="str">
        <f t="shared" si="1"/>
        <v>`BONDING OF FRIENDS/FAMILY (NET)&lt;Q&gt;</v>
      </c>
      <c r="J19" t="str">
        <f t="shared" si="2"/>
        <v>`BONDING OF FRIENDS/FAMILY (NET)&lt;Q&gt;</v>
      </c>
    </row>
    <row r="20" spans="1:10" x14ac:dyDescent="0.25">
      <c r="A20" s="109">
        <v>2105</v>
      </c>
      <c r="B20" s="7" t="s">
        <v>848</v>
      </c>
      <c r="C20" t="s">
        <v>16</v>
      </c>
      <c r="D20" t="s">
        <v>318</v>
      </c>
      <c r="F20" t="s">
        <v>326</v>
      </c>
      <c r="G20">
        <f t="shared" si="0"/>
        <v>2105</v>
      </c>
      <c r="H20" t="str">
        <f t="shared" si="1"/>
        <v>`     They are happy to use GCash</v>
      </c>
      <c r="I20" t="s">
        <v>520</v>
      </c>
      <c r="J20" t="str">
        <f t="shared" si="2"/>
        <v>&lt;G2B&gt;&lt;G1P&gt;`     They are happy to use GCash</v>
      </c>
    </row>
    <row r="21" spans="1:10" x14ac:dyDescent="0.25">
      <c r="A21" s="109">
        <v>2106</v>
      </c>
      <c r="B21" s="7" t="s">
        <v>849</v>
      </c>
      <c r="C21" t="s">
        <v>16</v>
      </c>
      <c r="D21" t="s">
        <v>318</v>
      </c>
      <c r="F21" t="s">
        <v>326</v>
      </c>
      <c r="G21">
        <f t="shared" si="0"/>
        <v>2106</v>
      </c>
      <c r="H21" t="str">
        <f t="shared" si="1"/>
        <v>`     A lot of people like it because they enjoyed it</v>
      </c>
      <c r="I21" t="s">
        <v>522</v>
      </c>
      <c r="J21" t="str">
        <f t="shared" si="2"/>
        <v>&lt;G1P&gt;`     A lot of people like it because they enjoyed it</v>
      </c>
    </row>
    <row r="22" spans="1:10" x14ac:dyDescent="0.25">
      <c r="A22" s="110">
        <v>2107</v>
      </c>
      <c r="B22" s="7" t="s">
        <v>850</v>
      </c>
      <c r="C22" t="s">
        <v>16</v>
      </c>
      <c r="D22" t="s">
        <v>318</v>
      </c>
      <c r="F22" t="s">
        <v>326</v>
      </c>
      <c r="G22">
        <f t="shared" si="0"/>
        <v>2107</v>
      </c>
      <c r="H22" t="str">
        <f t="shared" si="1"/>
        <v>`     They are happy and amazed from what they saw in GCash</v>
      </c>
      <c r="I22" t="s">
        <v>522</v>
      </c>
      <c r="J22" t="str">
        <f t="shared" si="2"/>
        <v>&lt;G1P&gt;`     They are happy and amazed from what they saw in GCash</v>
      </c>
    </row>
    <row r="23" spans="1:10" x14ac:dyDescent="0.25">
      <c r="A23" s="110" t="s">
        <v>851</v>
      </c>
      <c r="B23" s="7" t="s">
        <v>669</v>
      </c>
      <c r="C23" t="s">
        <v>16</v>
      </c>
      <c r="D23" t="s">
        <v>318</v>
      </c>
      <c r="F23" t="s">
        <v>326</v>
      </c>
      <c r="G23" t="str">
        <f t="shared" si="0"/>
        <v>2108+2156</v>
      </c>
      <c r="H23" t="str">
        <f t="shared" si="1"/>
        <v>`     Happy</v>
      </c>
      <c r="I23" t="s">
        <v>522</v>
      </c>
      <c r="J23" t="str">
        <f t="shared" si="2"/>
        <v>&lt;G1P&gt;`     Happy</v>
      </c>
    </row>
    <row r="24" spans="1:10" x14ac:dyDescent="0.25">
      <c r="A24" s="110">
        <v>2109</v>
      </c>
      <c r="B24" s="7" t="s">
        <v>852</v>
      </c>
      <c r="C24" t="s">
        <v>16</v>
      </c>
      <c r="D24" t="s">
        <v>318</v>
      </c>
      <c r="F24" t="s">
        <v>326</v>
      </c>
      <c r="G24">
        <f t="shared" si="0"/>
        <v>2109</v>
      </c>
      <c r="H24" t="str">
        <f t="shared" si="1"/>
        <v>`     The young people are happy</v>
      </c>
      <c r="I24" t="s">
        <v>522</v>
      </c>
      <c r="J24" t="str">
        <f t="shared" si="2"/>
        <v>&lt;G1P&gt;`     The young people are happy</v>
      </c>
    </row>
    <row r="25" spans="1:10" x14ac:dyDescent="0.25">
      <c r="A25" s="110">
        <v>2110</v>
      </c>
      <c r="B25" s="7" t="s">
        <v>853</v>
      </c>
      <c r="C25" t="s">
        <v>16</v>
      </c>
      <c r="D25" t="s">
        <v>318</v>
      </c>
      <c r="F25" t="s">
        <v>326</v>
      </c>
      <c r="G25">
        <f t="shared" si="0"/>
        <v>2110</v>
      </c>
      <c r="H25" t="str">
        <f t="shared" si="1"/>
        <v>`     The `"barkada`" is happy when there is GCash</v>
      </c>
      <c r="I25" t="s">
        <v>522</v>
      </c>
      <c r="J25" t="str">
        <f t="shared" si="2"/>
        <v>&lt;G1P&gt;`     The `"barkada`" is happy when there is GCash</v>
      </c>
    </row>
    <row r="26" spans="1:10" x14ac:dyDescent="0.25">
      <c r="A26" s="110">
        <v>2111</v>
      </c>
      <c r="B26" s="7" t="s">
        <v>854</v>
      </c>
      <c r="C26" t="s">
        <v>16</v>
      </c>
      <c r="D26" t="s">
        <v>318</v>
      </c>
      <c r="F26" t="s">
        <v>326</v>
      </c>
      <c r="G26">
        <f t="shared" si="0"/>
        <v>2111</v>
      </c>
      <c r="H26" t="str">
        <f t="shared" si="1"/>
        <v>`     Friends are using GCash</v>
      </c>
      <c r="I26" t="s">
        <v>522</v>
      </c>
      <c r="J26" t="str">
        <f t="shared" si="2"/>
        <v>&lt;G1P&gt;`     Friends are using GCash</v>
      </c>
    </row>
    <row r="27" spans="1:10" x14ac:dyDescent="0.25">
      <c r="A27" s="107">
        <v>2161</v>
      </c>
      <c r="B27" s="108" t="s">
        <v>855</v>
      </c>
      <c r="C27" t="s">
        <v>16</v>
      </c>
      <c r="D27" t="s">
        <v>318</v>
      </c>
      <c r="F27" t="s">
        <v>326</v>
      </c>
      <c r="G27">
        <f t="shared" si="0"/>
        <v>2161</v>
      </c>
      <c r="H27" t="str">
        <f t="shared" si="1"/>
        <v>`     Family are happy together</v>
      </c>
      <c r="I27" t="s">
        <v>522</v>
      </c>
      <c r="J27" t="str">
        <f t="shared" si="2"/>
        <v>&lt;G1P&gt;`     Family are happy together</v>
      </c>
    </row>
    <row r="28" spans="1:10" x14ac:dyDescent="0.25">
      <c r="A28" s="107">
        <v>2173</v>
      </c>
      <c r="B28" s="108" t="s">
        <v>856</v>
      </c>
      <c r="C28" t="s">
        <v>16</v>
      </c>
      <c r="D28" t="s">
        <v>318</v>
      </c>
      <c r="F28" t="s">
        <v>326</v>
      </c>
      <c r="G28">
        <f t="shared" si="0"/>
        <v>2173</v>
      </c>
      <c r="H28" t="str">
        <f t="shared" si="1"/>
        <v>`     People are happy having conversation</v>
      </c>
      <c r="I28" t="s">
        <v>522</v>
      </c>
      <c r="J28" t="str">
        <f t="shared" si="2"/>
        <v>&lt;G1P&gt;`     People are happy having conversation</v>
      </c>
    </row>
    <row r="29" spans="1:10" x14ac:dyDescent="0.25">
      <c r="A29" s="107">
        <v>2174</v>
      </c>
      <c r="B29" s="108" t="s">
        <v>857</v>
      </c>
      <c r="C29" t="s">
        <v>16</v>
      </c>
      <c r="D29" t="s">
        <v>318</v>
      </c>
      <c r="F29" t="s">
        <v>326</v>
      </c>
      <c r="G29">
        <f t="shared" si="0"/>
        <v>2174</v>
      </c>
      <c r="H29" t="str">
        <f t="shared" si="1"/>
        <v>`     Happy `"barkada`" bonding</v>
      </c>
      <c r="I29" t="s">
        <v>522</v>
      </c>
      <c r="J29" t="str">
        <f t="shared" si="2"/>
        <v>&lt;G1P&gt;`     Happy `"barkada`" bonding</v>
      </c>
    </row>
    <row r="30" spans="1:10" x14ac:dyDescent="0.25">
      <c r="A30" s="107">
        <v>2176</v>
      </c>
      <c r="B30" s="108" t="s">
        <v>858</v>
      </c>
      <c r="C30" t="s">
        <v>16</v>
      </c>
      <c r="D30" t="s">
        <v>318</v>
      </c>
      <c r="F30" t="s">
        <v>326</v>
      </c>
      <c r="G30">
        <f t="shared" si="0"/>
        <v>2176</v>
      </c>
      <c r="H30" t="str">
        <f t="shared" si="1"/>
        <v>`     Group of people are enjoing</v>
      </c>
      <c r="I30" t="s">
        <v>522</v>
      </c>
      <c r="J30" t="str">
        <f t="shared" si="2"/>
        <v>&lt;G1P&gt;`     Group of people are enjoing</v>
      </c>
    </row>
    <row r="31" spans="1:10" x14ac:dyDescent="0.25">
      <c r="A31" s="107">
        <v>2177</v>
      </c>
      <c r="B31" s="108" t="s">
        <v>859</v>
      </c>
      <c r="C31" t="s">
        <v>16</v>
      </c>
      <c r="D31" t="s">
        <v>318</v>
      </c>
      <c r="F31" t="s">
        <v>326</v>
      </c>
      <c r="G31">
        <f t="shared" si="0"/>
        <v>2177</v>
      </c>
      <c r="H31" t="str">
        <f t="shared" si="1"/>
        <v>`     Enjoy on what they are doing</v>
      </c>
      <c r="I31" t="s">
        <v>522</v>
      </c>
      <c r="J31" t="str">
        <f t="shared" si="2"/>
        <v>&lt;G1P&gt;`     Enjoy on what they are doing</v>
      </c>
    </row>
    <row r="32" spans="1:10" x14ac:dyDescent="0.25">
      <c r="A32" s="107">
        <v>2183</v>
      </c>
      <c r="B32" s="108" t="s">
        <v>860</v>
      </c>
      <c r="C32" t="s">
        <v>16</v>
      </c>
      <c r="D32" t="s">
        <v>318</v>
      </c>
      <c r="F32" t="s">
        <v>326</v>
      </c>
      <c r="G32">
        <f t="shared" si="0"/>
        <v>2183</v>
      </c>
      <c r="H32" t="str">
        <f t="shared" si="1"/>
        <v>`     The whole family using GCash</v>
      </c>
      <c r="I32" t="s">
        <v>522</v>
      </c>
      <c r="J32" t="str">
        <f t="shared" si="2"/>
        <v>&lt;G1P&gt;`     The whole family using GCash</v>
      </c>
    </row>
    <row r="33" spans="1:10" x14ac:dyDescent="0.25">
      <c r="A33" s="105">
        <v>2158</v>
      </c>
      <c r="B33" s="106" t="s">
        <v>861</v>
      </c>
      <c r="C33" t="s">
        <v>16</v>
      </c>
      <c r="D33" t="s">
        <v>318</v>
      </c>
      <c r="F33" t="s">
        <v>326</v>
      </c>
      <c r="G33">
        <f t="shared" si="0"/>
        <v>2158</v>
      </c>
      <c r="H33" t="str">
        <f t="shared" si="1"/>
        <v>`     Familly bonding</v>
      </c>
      <c r="I33" t="s">
        <v>522</v>
      </c>
      <c r="J33" t="str">
        <f t="shared" si="2"/>
        <v>&lt;G1P&gt;`     Familly bonding</v>
      </c>
    </row>
    <row r="34" spans="1:10" ht="28.5" x14ac:dyDescent="0.25">
      <c r="A34" s="105">
        <v>2170</v>
      </c>
      <c r="B34" s="106" t="s">
        <v>862</v>
      </c>
      <c r="C34" t="s">
        <v>16</v>
      </c>
      <c r="D34" t="s">
        <v>318</v>
      </c>
      <c r="F34" t="s">
        <v>326</v>
      </c>
      <c r="G34">
        <f t="shared" ref="G34:G65" si="3">IF(A34="","",A34)</f>
        <v>2170</v>
      </c>
      <c r="H34" t="str">
        <f t="shared" ref="H34:H65" si="4">_xlfn.CONCAT(D34,SUBSTITUTE(B34,"""","`"""),E34)</f>
        <v xml:space="preserve">`     It's nice because its for the family and for young people </v>
      </c>
      <c r="I34" t="s">
        <v>521</v>
      </c>
      <c r="J34" t="str">
        <f t="shared" ref="J34:J65" si="5">_xlfn.CONCAT(I34,H34)</f>
        <v xml:space="preserve">&lt;G2E&gt;&lt;G1P&gt;`     It's nice because its for the family and for young people </v>
      </c>
    </row>
    <row r="35" spans="1:10" ht="15.75" x14ac:dyDescent="0.25">
      <c r="A35" s="110" t="s">
        <v>936</v>
      </c>
      <c r="B35" s="15" t="s">
        <v>863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2112+2113+2114+2115+2190+2191+2195</v>
      </c>
      <c r="H35" t="str">
        <f t="shared" si="4"/>
        <v>`CAN LOAD OTHER PEOPLE (NET)&lt;Q&gt;</v>
      </c>
      <c r="J35" t="str">
        <f t="shared" si="5"/>
        <v>`CAN LOAD OTHER PEOPLE (NET)&lt;Q&gt;</v>
      </c>
    </row>
    <row r="36" spans="1:10" x14ac:dyDescent="0.25">
      <c r="A36" s="110">
        <v>2112</v>
      </c>
      <c r="B36" s="7" t="s">
        <v>864</v>
      </c>
      <c r="C36" t="s">
        <v>16</v>
      </c>
      <c r="D36" t="s">
        <v>318</v>
      </c>
      <c r="F36" t="s">
        <v>326</v>
      </c>
      <c r="G36">
        <f t="shared" si="3"/>
        <v>2112</v>
      </c>
      <c r="H36" t="str">
        <f t="shared" si="4"/>
        <v>`     Can send load to other members of the family</v>
      </c>
      <c r="I36" t="s">
        <v>520</v>
      </c>
      <c r="J36" t="str">
        <f t="shared" si="5"/>
        <v>&lt;G2B&gt;&lt;G1P&gt;`     Can send load to other members of the family</v>
      </c>
    </row>
    <row r="37" spans="1:10" x14ac:dyDescent="0.25">
      <c r="A37" s="110">
        <v>2113</v>
      </c>
      <c r="B37" s="7" t="s">
        <v>865</v>
      </c>
      <c r="C37" t="s">
        <v>16</v>
      </c>
      <c r="D37" t="s">
        <v>318</v>
      </c>
      <c r="F37" t="s">
        <v>326</v>
      </c>
      <c r="G37">
        <f t="shared" si="3"/>
        <v>2113</v>
      </c>
      <c r="H37" t="str">
        <f t="shared" si="4"/>
        <v>`     Can send load to other people using the GCash app</v>
      </c>
      <c r="I37" t="s">
        <v>522</v>
      </c>
      <c r="J37" t="str">
        <f t="shared" si="5"/>
        <v>&lt;G1P&gt;`     Can send load to other people using the GCash app</v>
      </c>
    </row>
    <row r="38" spans="1:10" x14ac:dyDescent="0.25">
      <c r="A38" s="110">
        <v>2114</v>
      </c>
      <c r="B38" s="7" t="s">
        <v>866</v>
      </c>
      <c r="C38" t="s">
        <v>16</v>
      </c>
      <c r="D38" t="s">
        <v>318</v>
      </c>
      <c r="F38" t="s">
        <v>326</v>
      </c>
      <c r="G38">
        <f t="shared" si="3"/>
        <v>2114</v>
      </c>
      <c r="H38" t="str">
        <f t="shared" si="4"/>
        <v>`     Can send load to my friends using GCash</v>
      </c>
      <c r="I38" t="s">
        <v>522</v>
      </c>
      <c r="J38" t="str">
        <f t="shared" si="5"/>
        <v>&lt;G1P&gt;`     Can send load to my friends using GCash</v>
      </c>
    </row>
    <row r="39" spans="1:10" x14ac:dyDescent="0.25">
      <c r="A39" s="110">
        <v>2115</v>
      </c>
      <c r="B39" s="7" t="s">
        <v>867</v>
      </c>
      <c r="C39" t="s">
        <v>16</v>
      </c>
      <c r="D39" t="s">
        <v>318</v>
      </c>
      <c r="F39" t="s">
        <v>326</v>
      </c>
      <c r="G39">
        <f t="shared" si="3"/>
        <v>2115</v>
      </c>
      <c r="H39" t="str">
        <f t="shared" si="4"/>
        <v>`     Friends can bond using GCash</v>
      </c>
      <c r="I39" t="s">
        <v>522</v>
      </c>
      <c r="J39" t="str">
        <f t="shared" si="5"/>
        <v>&lt;G1P&gt;`     Friends can bond using GCash</v>
      </c>
    </row>
    <row r="40" spans="1:10" x14ac:dyDescent="0.25">
      <c r="A40" s="111">
        <v>2190</v>
      </c>
      <c r="B40" s="112" t="s">
        <v>868</v>
      </c>
      <c r="C40" t="s">
        <v>16</v>
      </c>
      <c r="D40" t="s">
        <v>318</v>
      </c>
      <c r="F40" t="s">
        <v>326</v>
      </c>
      <c r="G40">
        <f t="shared" si="3"/>
        <v>2190</v>
      </c>
      <c r="H40" t="str">
        <f t="shared" si="4"/>
        <v>`     It is possible to load a group</v>
      </c>
      <c r="I40" t="s">
        <v>522</v>
      </c>
      <c r="J40" t="str">
        <f t="shared" si="5"/>
        <v>&lt;G1P&gt;`     It is possible to load a group</v>
      </c>
    </row>
    <row r="41" spans="1:10" x14ac:dyDescent="0.25">
      <c r="A41" s="111">
        <v>2191</v>
      </c>
      <c r="B41" s="112" t="s">
        <v>869</v>
      </c>
      <c r="C41" t="s">
        <v>16</v>
      </c>
      <c r="D41" t="s">
        <v>318</v>
      </c>
      <c r="F41" t="s">
        <v>326</v>
      </c>
      <c r="G41">
        <f t="shared" si="3"/>
        <v>2191</v>
      </c>
      <c r="H41" t="str">
        <f t="shared" si="4"/>
        <v>`     Can load at the same time</v>
      </c>
      <c r="I41" t="s">
        <v>522</v>
      </c>
      <c r="J41" t="str">
        <f t="shared" si="5"/>
        <v>&lt;G1P&gt;`     Can load at the same time</v>
      </c>
    </row>
    <row r="42" spans="1:10" x14ac:dyDescent="0.25">
      <c r="A42" s="113">
        <v>2195</v>
      </c>
      <c r="B42" s="114" t="s">
        <v>870</v>
      </c>
      <c r="C42" t="s">
        <v>16</v>
      </c>
      <c r="D42" t="s">
        <v>318</v>
      </c>
      <c r="F42" t="s">
        <v>326</v>
      </c>
      <c r="G42">
        <f t="shared" si="3"/>
        <v>2195</v>
      </c>
      <c r="H42" t="str">
        <f t="shared" si="4"/>
        <v>`     Can load to your own GCash</v>
      </c>
      <c r="I42" t="s">
        <v>521</v>
      </c>
      <c r="J42" t="str">
        <f t="shared" si="5"/>
        <v>&lt;G2E&gt;&lt;G1P&gt;`     Can load to your own GCash</v>
      </c>
    </row>
    <row r="43" spans="1:10" ht="15.75" x14ac:dyDescent="0.25">
      <c r="A43" s="110">
        <v>2116</v>
      </c>
      <c r="B43" s="15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 t="shared" si="3"/>
        <v>2116</v>
      </c>
      <c r="H43" t="str">
        <f t="shared" si="4"/>
        <v>`SAVE MONEY (NET)&lt;Q&gt;</v>
      </c>
      <c r="J43" t="str">
        <f t="shared" si="5"/>
        <v>`SAVE MONEY (NET)&lt;Q&gt;</v>
      </c>
    </row>
    <row r="44" spans="1:10" x14ac:dyDescent="0.25">
      <c r="A44" s="110">
        <v>2116</v>
      </c>
      <c r="B44" s="7" t="s">
        <v>872</v>
      </c>
      <c r="C44" t="s">
        <v>16</v>
      </c>
      <c r="D44" t="s">
        <v>318</v>
      </c>
      <c r="F44" t="s">
        <v>326</v>
      </c>
      <c r="G44">
        <f t="shared" si="3"/>
        <v>2116</v>
      </c>
      <c r="H44" t="str">
        <f t="shared" si="4"/>
        <v>`     Can save money using GCash</v>
      </c>
      <c r="I44" t="s">
        <v>522</v>
      </c>
      <c r="J44" t="str">
        <f t="shared" si="5"/>
        <v>&lt;G1P&gt;`     Can save money using GCash</v>
      </c>
    </row>
    <row r="45" spans="1:10" ht="15.75" x14ac:dyDescent="0.25">
      <c r="A45" s="110" t="s">
        <v>937</v>
      </c>
      <c r="B45" s="15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2117+2118+2119+2152+2166+2180+2181+2188+2144+2145+2169+2198</v>
      </c>
      <c r="H45" t="str">
        <f t="shared" si="4"/>
        <v>`BUY LOAD VIA GCASH (NET)&lt;Q&gt;</v>
      </c>
      <c r="J45" t="str">
        <f t="shared" si="5"/>
        <v>`BUY LOAD VIA GCASH (NET)&lt;Q&gt;</v>
      </c>
    </row>
    <row r="46" spans="1:10" x14ac:dyDescent="0.25">
      <c r="A46" s="110">
        <v>2117</v>
      </c>
      <c r="B46" s="7" t="s">
        <v>873</v>
      </c>
      <c r="C46" t="s">
        <v>16</v>
      </c>
      <c r="D46" t="s">
        <v>318</v>
      </c>
      <c r="F46" t="s">
        <v>326</v>
      </c>
      <c r="G46">
        <f t="shared" si="3"/>
        <v>2117</v>
      </c>
      <c r="H46" t="str">
        <f t="shared" si="4"/>
        <v>`     Can use GCash to buy load</v>
      </c>
      <c r="I46" t="s">
        <v>520</v>
      </c>
      <c r="J46" t="str">
        <f t="shared" si="5"/>
        <v>&lt;G2B&gt;&lt;G1P&gt;`     Can use GCash to buy load</v>
      </c>
    </row>
    <row r="47" spans="1:10" x14ac:dyDescent="0.25">
      <c r="A47" s="110">
        <v>2118</v>
      </c>
      <c r="B47" s="7" t="s">
        <v>675</v>
      </c>
      <c r="C47" t="s">
        <v>16</v>
      </c>
      <c r="D47" t="s">
        <v>318</v>
      </c>
      <c r="F47" t="s">
        <v>326</v>
      </c>
      <c r="G47">
        <f t="shared" si="3"/>
        <v>2118</v>
      </c>
      <c r="H47" t="str">
        <f t="shared" si="4"/>
        <v>`     Buy load</v>
      </c>
      <c r="I47" t="s">
        <v>522</v>
      </c>
      <c r="J47" t="str">
        <f t="shared" si="5"/>
        <v>&lt;G1P&gt;`     Buy load</v>
      </c>
    </row>
    <row r="48" spans="1:10" x14ac:dyDescent="0.25">
      <c r="A48" s="102">
        <v>2119</v>
      </c>
      <c r="B48" s="104" t="s">
        <v>576</v>
      </c>
      <c r="C48" t="s">
        <v>16</v>
      </c>
      <c r="D48" t="s">
        <v>318</v>
      </c>
      <c r="F48" t="s">
        <v>326</v>
      </c>
      <c r="G48">
        <f t="shared" si="3"/>
        <v>2119</v>
      </c>
      <c r="H48" t="str">
        <f t="shared" si="4"/>
        <v>`     Load</v>
      </c>
      <c r="I48" t="s">
        <v>522</v>
      </c>
      <c r="J48" t="str">
        <f t="shared" si="5"/>
        <v>&lt;G1P&gt;`     Load</v>
      </c>
    </row>
    <row r="49" spans="1:10" x14ac:dyDescent="0.25">
      <c r="A49" s="105">
        <v>2152</v>
      </c>
      <c r="B49" s="106" t="s">
        <v>874</v>
      </c>
      <c r="C49" t="s">
        <v>16</v>
      </c>
      <c r="D49" t="s">
        <v>318</v>
      </c>
      <c r="F49" t="s">
        <v>326</v>
      </c>
      <c r="G49">
        <f t="shared" si="3"/>
        <v>2152</v>
      </c>
      <c r="H49" t="str">
        <f t="shared" si="4"/>
        <v>`     Buy load for gaming</v>
      </c>
      <c r="I49" t="s">
        <v>522</v>
      </c>
      <c r="J49" t="str">
        <f t="shared" si="5"/>
        <v>&lt;G1P&gt;`     Buy load for gaming</v>
      </c>
    </row>
    <row r="50" spans="1:10" x14ac:dyDescent="0.25">
      <c r="A50" s="105">
        <v>2166</v>
      </c>
      <c r="B50" s="106" t="s">
        <v>681</v>
      </c>
      <c r="C50" t="s">
        <v>16</v>
      </c>
      <c r="D50" t="s">
        <v>318</v>
      </c>
      <c r="F50" t="s">
        <v>326</v>
      </c>
      <c r="G50">
        <f t="shared" si="3"/>
        <v>2166</v>
      </c>
      <c r="H50" t="str">
        <f t="shared" si="4"/>
        <v>`     Load online</v>
      </c>
      <c r="I50" t="s">
        <v>522</v>
      </c>
      <c r="J50" t="str">
        <f t="shared" si="5"/>
        <v>&lt;G1P&gt;`     Load online</v>
      </c>
    </row>
    <row r="51" spans="1:10" x14ac:dyDescent="0.25">
      <c r="A51" s="105">
        <v>2180</v>
      </c>
      <c r="B51" s="106" t="s">
        <v>875</v>
      </c>
      <c r="C51" t="s">
        <v>16</v>
      </c>
      <c r="D51" t="s">
        <v>318</v>
      </c>
      <c r="F51" t="s">
        <v>326</v>
      </c>
      <c r="G51">
        <f t="shared" si="3"/>
        <v>2180</v>
      </c>
      <c r="H51" t="str">
        <f t="shared" si="4"/>
        <v>`     Buying load online</v>
      </c>
      <c r="I51" t="s">
        <v>522</v>
      </c>
      <c r="J51" t="str">
        <f t="shared" si="5"/>
        <v>&lt;G1P&gt;`     Buying load online</v>
      </c>
    </row>
    <row r="52" spans="1:10" x14ac:dyDescent="0.25">
      <c r="A52" s="105">
        <v>2181</v>
      </c>
      <c r="B52" s="106" t="s">
        <v>876</v>
      </c>
      <c r="C52" t="s">
        <v>16</v>
      </c>
      <c r="D52" t="s">
        <v>318</v>
      </c>
      <c r="F52" t="s">
        <v>326</v>
      </c>
      <c r="G52">
        <f t="shared" si="3"/>
        <v>2181</v>
      </c>
      <c r="H52" t="str">
        <f t="shared" si="4"/>
        <v>`     Can load on Gcash when you run out of load</v>
      </c>
      <c r="I52" t="s">
        <v>522</v>
      </c>
      <c r="J52" t="str">
        <f t="shared" si="5"/>
        <v>&lt;G1P&gt;`     Can load on Gcash when you run out of load</v>
      </c>
    </row>
    <row r="53" spans="1:10" x14ac:dyDescent="0.25">
      <c r="A53" s="105">
        <v>2188</v>
      </c>
      <c r="B53" s="106" t="s">
        <v>877</v>
      </c>
      <c r="C53" t="s">
        <v>16</v>
      </c>
      <c r="D53" t="s">
        <v>318</v>
      </c>
      <c r="F53" t="s">
        <v>326</v>
      </c>
      <c r="G53">
        <f t="shared" si="3"/>
        <v>2188</v>
      </c>
      <c r="H53" t="str">
        <f t="shared" si="4"/>
        <v>`     Family can load usign GCash</v>
      </c>
      <c r="I53" t="s">
        <v>522</v>
      </c>
      <c r="J53" t="str">
        <f t="shared" si="5"/>
        <v>&lt;G1P&gt;`     Family can load usign GCash</v>
      </c>
    </row>
    <row r="54" spans="1:10" x14ac:dyDescent="0.25">
      <c r="A54" s="105">
        <v>2144</v>
      </c>
      <c r="B54" s="106" t="s">
        <v>878</v>
      </c>
      <c r="C54" t="s">
        <v>16</v>
      </c>
      <c r="D54" t="s">
        <v>318</v>
      </c>
      <c r="F54" t="s">
        <v>326</v>
      </c>
      <c r="G54">
        <f t="shared" si="3"/>
        <v>2144</v>
      </c>
      <c r="H54" t="str">
        <f t="shared" si="4"/>
        <v>`     Emergency load using GCash</v>
      </c>
      <c r="I54" t="s">
        <v>522</v>
      </c>
      <c r="J54" t="str">
        <f t="shared" si="5"/>
        <v>&lt;G1P&gt;`     Emergency load using GCash</v>
      </c>
    </row>
    <row r="55" spans="1:10" x14ac:dyDescent="0.25">
      <c r="A55" s="105">
        <v>2145</v>
      </c>
      <c r="B55" s="106" t="s">
        <v>678</v>
      </c>
      <c r="C55" t="s">
        <v>16</v>
      </c>
      <c r="D55" t="s">
        <v>318</v>
      </c>
      <c r="F55" t="s">
        <v>326</v>
      </c>
      <c r="G55">
        <f t="shared" si="3"/>
        <v>2145</v>
      </c>
      <c r="H55" t="str">
        <f t="shared" si="4"/>
        <v>`     About load</v>
      </c>
      <c r="I55" t="s">
        <v>522</v>
      </c>
      <c r="J55" t="str">
        <f t="shared" si="5"/>
        <v>&lt;G1P&gt;`     About load</v>
      </c>
    </row>
    <row r="56" spans="1:10" x14ac:dyDescent="0.25">
      <c r="A56" s="105">
        <v>2169</v>
      </c>
      <c r="B56" s="106" t="s">
        <v>879</v>
      </c>
      <c r="C56" t="s">
        <v>16</v>
      </c>
      <c r="D56" t="s">
        <v>318</v>
      </c>
      <c r="F56" t="s">
        <v>326</v>
      </c>
      <c r="G56">
        <f t="shared" si="3"/>
        <v>2169</v>
      </c>
      <c r="H56" t="str">
        <f t="shared" si="4"/>
        <v>`     Can load any network using GCash</v>
      </c>
      <c r="I56" t="s">
        <v>522</v>
      </c>
      <c r="J56" t="str">
        <f t="shared" si="5"/>
        <v>&lt;G1P&gt;`     Can load any network using GCash</v>
      </c>
    </row>
    <row r="57" spans="1:10" x14ac:dyDescent="0.25">
      <c r="A57" s="113">
        <v>2198</v>
      </c>
      <c r="B57" s="114" t="s">
        <v>880</v>
      </c>
      <c r="C57" t="s">
        <v>16</v>
      </c>
      <c r="D57" t="s">
        <v>318</v>
      </c>
      <c r="F57" t="s">
        <v>326</v>
      </c>
      <c r="G57">
        <f t="shared" si="3"/>
        <v>2198</v>
      </c>
      <c r="H57" t="str">
        <f t="shared" si="4"/>
        <v>`     It's worth it to load on GCash</v>
      </c>
      <c r="I57" t="s">
        <v>521</v>
      </c>
      <c r="J57" t="str">
        <f t="shared" si="5"/>
        <v>&lt;G2E&gt;&lt;G1P&gt;`     It's worth it to load on GCash</v>
      </c>
    </row>
    <row r="58" spans="1:10" ht="15.75" x14ac:dyDescent="0.25">
      <c r="A58" s="102">
        <v>2120</v>
      </c>
      <c r="B58" s="103" t="s">
        <v>881</v>
      </c>
      <c r="C58" t="s">
        <v>6</v>
      </c>
      <c r="D58" t="s">
        <v>323</v>
      </c>
      <c r="E58" t="s">
        <v>322</v>
      </c>
      <c r="F58" t="s">
        <v>327</v>
      </c>
      <c r="G58">
        <f t="shared" si="3"/>
        <v>2120</v>
      </c>
      <c r="H58" t="str">
        <f t="shared" si="4"/>
        <v>`RECEIVE MONEY (NET)&lt;Q&gt;</v>
      </c>
      <c r="J58" t="str">
        <f t="shared" si="5"/>
        <v>`RECEIVE MONEY (NET)&lt;Q&gt;</v>
      </c>
    </row>
    <row r="59" spans="1:10" x14ac:dyDescent="0.25">
      <c r="A59" s="102">
        <v>2120</v>
      </c>
      <c r="B59" s="104" t="s">
        <v>882</v>
      </c>
      <c r="C59" t="s">
        <v>16</v>
      </c>
      <c r="D59" t="s">
        <v>318</v>
      </c>
      <c r="F59" t="s">
        <v>326</v>
      </c>
      <c r="G59">
        <f t="shared" si="3"/>
        <v>2120</v>
      </c>
      <c r="H59" t="str">
        <f t="shared" si="4"/>
        <v>`     Able to receive money</v>
      </c>
      <c r="I59" t="s">
        <v>522</v>
      </c>
      <c r="J59" t="str">
        <f t="shared" si="5"/>
        <v>&lt;G1P&gt;`     Able to receive money</v>
      </c>
    </row>
    <row r="60" spans="1:10" ht="15.75" x14ac:dyDescent="0.25">
      <c r="A60" s="102">
        <v>2138</v>
      </c>
      <c r="B60" s="103" t="s">
        <v>883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2138</v>
      </c>
      <c r="H60" t="str">
        <f t="shared" si="4"/>
        <v>`SEND MONEY (NET)&lt;Q&gt;</v>
      </c>
      <c r="J60" t="str">
        <f t="shared" si="5"/>
        <v>`SEND MONEY (NET)&lt;Q&gt;</v>
      </c>
    </row>
    <row r="61" spans="1:10" x14ac:dyDescent="0.25">
      <c r="A61" s="102">
        <v>2138</v>
      </c>
      <c r="B61" s="104" t="s">
        <v>884</v>
      </c>
      <c r="C61" t="s">
        <v>16</v>
      </c>
      <c r="D61" t="s">
        <v>318</v>
      </c>
      <c r="F61" t="s">
        <v>326</v>
      </c>
      <c r="G61">
        <f t="shared" si="3"/>
        <v>2138</v>
      </c>
      <c r="H61" t="str">
        <f t="shared" si="4"/>
        <v>`     Send money</v>
      </c>
      <c r="I61" t="s">
        <v>522</v>
      </c>
      <c r="J61" t="str">
        <f t="shared" si="5"/>
        <v>&lt;G1P&gt;`     Send money</v>
      </c>
    </row>
    <row r="62" spans="1:10" ht="15.75" x14ac:dyDescent="0.25">
      <c r="A62" s="102" t="s">
        <v>938</v>
      </c>
      <c r="B62" s="103" t="s">
        <v>885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2121+2122+2167</v>
      </c>
      <c r="H62" t="str">
        <f t="shared" si="4"/>
        <v>`SPEED OF TRANSACTION (NET)&lt;Q&gt;</v>
      </c>
      <c r="J62" t="str">
        <f t="shared" si="5"/>
        <v>`SPEED OF TRANSACTION (NET)&lt;Q&gt;</v>
      </c>
    </row>
    <row r="63" spans="1:10" x14ac:dyDescent="0.25">
      <c r="A63" s="102">
        <v>2121</v>
      </c>
      <c r="B63" s="104" t="s">
        <v>886</v>
      </c>
      <c r="C63" t="s">
        <v>16</v>
      </c>
      <c r="D63" t="s">
        <v>318</v>
      </c>
      <c r="F63" t="s">
        <v>326</v>
      </c>
      <c r="G63">
        <f t="shared" si="3"/>
        <v>2121</v>
      </c>
      <c r="H63" t="str">
        <f t="shared" si="4"/>
        <v>`     Fast to load via GCash</v>
      </c>
      <c r="I63" t="s">
        <v>520</v>
      </c>
      <c r="J63" t="str">
        <f t="shared" si="5"/>
        <v>&lt;G2B&gt;&lt;G1P&gt;`     Fast to load via GCash</v>
      </c>
    </row>
    <row r="64" spans="1:10" x14ac:dyDescent="0.25">
      <c r="A64" s="102">
        <v>2122</v>
      </c>
      <c r="B64" s="104" t="s">
        <v>412</v>
      </c>
      <c r="C64" t="s">
        <v>16</v>
      </c>
      <c r="D64" t="s">
        <v>318</v>
      </c>
      <c r="F64" t="s">
        <v>326</v>
      </c>
      <c r="G64">
        <f t="shared" si="3"/>
        <v>2122</v>
      </c>
      <c r="H64" t="str">
        <f t="shared" si="4"/>
        <v>`     Fast transaction</v>
      </c>
      <c r="I64" t="s">
        <v>522</v>
      </c>
      <c r="J64" t="str">
        <f t="shared" si="5"/>
        <v>&lt;G1P&gt;`     Fast transaction</v>
      </c>
    </row>
    <row r="65" spans="1:10" x14ac:dyDescent="0.25">
      <c r="A65" s="105">
        <v>2167</v>
      </c>
      <c r="B65" s="106" t="s">
        <v>887</v>
      </c>
      <c r="C65" t="s">
        <v>16</v>
      </c>
      <c r="D65" t="s">
        <v>318</v>
      </c>
      <c r="F65" t="s">
        <v>326</v>
      </c>
      <c r="G65">
        <f t="shared" si="3"/>
        <v>2167</v>
      </c>
      <c r="H65" t="str">
        <f t="shared" si="4"/>
        <v>`     Fast to buy load</v>
      </c>
      <c r="I65" t="s">
        <v>521</v>
      </c>
      <c r="J65" t="str">
        <f t="shared" si="5"/>
        <v>&lt;G2E&gt;&lt;G1P&gt;`     Fast to buy load</v>
      </c>
    </row>
    <row r="66" spans="1:10" ht="15.75" x14ac:dyDescent="0.25">
      <c r="A66" s="102" t="s">
        <v>889</v>
      </c>
      <c r="B66" s="103" t="s">
        <v>888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97" si="6">IF(A66="","",A66)</f>
        <v>2123+2142</v>
      </c>
      <c r="H66" t="str">
        <f t="shared" ref="H66:H97" si="7">_xlfn.CONCAT(D66,SUBSTITUTE(B66,"""","`"""),E66)</f>
        <v>`ACCESSIBILITY (NET)&lt;Q&gt;</v>
      </c>
      <c r="J66" t="str">
        <f t="shared" ref="J66:J97" si="8">_xlfn.CONCAT(I66,H66)</f>
        <v>`ACCESSIBILITY (NET)&lt;Q&gt;</v>
      </c>
    </row>
    <row r="67" spans="1:10" x14ac:dyDescent="0.25">
      <c r="A67" s="102" t="s">
        <v>889</v>
      </c>
      <c r="B67" s="104" t="s">
        <v>890</v>
      </c>
      <c r="C67" t="s">
        <v>16</v>
      </c>
      <c r="D67" t="s">
        <v>318</v>
      </c>
      <c r="F67" t="s">
        <v>326</v>
      </c>
      <c r="G67" t="str">
        <f t="shared" si="6"/>
        <v>2123+2142</v>
      </c>
      <c r="H67" t="str">
        <f t="shared" si="7"/>
        <v>`     Ease of access</v>
      </c>
      <c r="I67" t="s">
        <v>522</v>
      </c>
      <c r="J67" t="str">
        <f t="shared" si="8"/>
        <v>&lt;G1P&gt;`     Ease of access</v>
      </c>
    </row>
    <row r="68" spans="1:10" ht="15.75" x14ac:dyDescent="0.25">
      <c r="A68" s="102" t="s">
        <v>939</v>
      </c>
      <c r="B68" s="103" t="s">
        <v>891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2124+2125</v>
      </c>
      <c r="H68" t="str">
        <f t="shared" si="7"/>
        <v>`QUICK PAYMENT (NET)&lt;Q&gt;</v>
      </c>
      <c r="J68" t="str">
        <f t="shared" si="8"/>
        <v>`QUICK PAYMENT (NET)&lt;Q&gt;</v>
      </c>
    </row>
    <row r="69" spans="1:10" x14ac:dyDescent="0.25">
      <c r="A69" s="102">
        <v>2124</v>
      </c>
      <c r="B69" s="104" t="s">
        <v>892</v>
      </c>
      <c r="C69" t="s">
        <v>16</v>
      </c>
      <c r="D69" t="s">
        <v>318</v>
      </c>
      <c r="F69" t="s">
        <v>326</v>
      </c>
      <c r="G69">
        <f t="shared" si="6"/>
        <v>2124</v>
      </c>
      <c r="H69" t="str">
        <f t="shared" si="7"/>
        <v>`     Payment can be made quickly</v>
      </c>
      <c r="I69" t="s">
        <v>520</v>
      </c>
      <c r="J69" t="str">
        <f t="shared" si="8"/>
        <v>&lt;G2B&gt;&lt;G1P&gt;`     Payment can be made quickly</v>
      </c>
    </row>
    <row r="70" spans="1:10" x14ac:dyDescent="0.25">
      <c r="A70" s="102">
        <v>2125</v>
      </c>
      <c r="B70" s="104" t="s">
        <v>893</v>
      </c>
      <c r="C70" t="s">
        <v>16</v>
      </c>
      <c r="D70" t="s">
        <v>318</v>
      </c>
      <c r="F70" t="s">
        <v>326</v>
      </c>
      <c r="G70">
        <f t="shared" si="6"/>
        <v>2125</v>
      </c>
      <c r="H70" t="str">
        <f t="shared" si="7"/>
        <v>`     Payment for load</v>
      </c>
      <c r="I70" t="s">
        <v>521</v>
      </c>
      <c r="J70" t="str">
        <f t="shared" si="8"/>
        <v>&lt;G2E&gt;&lt;G1P&gt;`     Payment for load</v>
      </c>
    </row>
    <row r="71" spans="1:10" ht="28.5" x14ac:dyDescent="0.25">
      <c r="A71" s="102" t="s">
        <v>940</v>
      </c>
      <c r="B71" s="103" t="s">
        <v>894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2126+2127+2128+2129+2130+2141+2143+2151+2168+2192+2193+2196</v>
      </c>
      <c r="H71" t="str">
        <f t="shared" si="7"/>
        <v>`EASY TO LOAD (NET)&lt;Q&gt;</v>
      </c>
      <c r="J71" t="str">
        <f t="shared" si="8"/>
        <v>`EASY TO LOAD (NET)&lt;Q&gt;</v>
      </c>
    </row>
    <row r="72" spans="1:10" x14ac:dyDescent="0.25">
      <c r="A72" s="102">
        <v>2126</v>
      </c>
      <c r="B72" s="104" t="s">
        <v>752</v>
      </c>
      <c r="C72" t="s">
        <v>16</v>
      </c>
      <c r="D72" t="s">
        <v>318</v>
      </c>
      <c r="F72" t="s">
        <v>326</v>
      </c>
      <c r="G72">
        <f t="shared" si="6"/>
        <v>2126</v>
      </c>
      <c r="H72" t="str">
        <f t="shared" si="7"/>
        <v>`     Easy to load</v>
      </c>
      <c r="I72" t="s">
        <v>520</v>
      </c>
      <c r="J72" t="str">
        <f t="shared" si="8"/>
        <v>&lt;G2B&gt;&lt;G1P&gt;`     Easy to load</v>
      </c>
    </row>
    <row r="73" spans="1:10" x14ac:dyDescent="0.25">
      <c r="A73" s="102">
        <v>2127</v>
      </c>
      <c r="B73" s="104" t="s">
        <v>895</v>
      </c>
      <c r="C73" t="s">
        <v>16</v>
      </c>
      <c r="D73" t="s">
        <v>318</v>
      </c>
      <c r="F73" t="s">
        <v>326</v>
      </c>
      <c r="G73">
        <f t="shared" si="6"/>
        <v>2127</v>
      </c>
      <c r="H73" t="str">
        <f t="shared" si="7"/>
        <v>`     Easy to load using GCash app</v>
      </c>
      <c r="I73" t="s">
        <v>522</v>
      </c>
      <c r="J73" t="str">
        <f t="shared" si="8"/>
        <v>&lt;G1P&gt;`     Easy to load using GCash app</v>
      </c>
    </row>
    <row r="74" spans="1:10" x14ac:dyDescent="0.25">
      <c r="A74" s="102">
        <v>2128</v>
      </c>
      <c r="B74" s="104" t="s">
        <v>387</v>
      </c>
      <c r="C74" t="s">
        <v>16</v>
      </c>
      <c r="D74" t="s">
        <v>318</v>
      </c>
      <c r="F74" t="s">
        <v>326</v>
      </c>
      <c r="G74">
        <f t="shared" si="6"/>
        <v>2128</v>
      </c>
      <c r="H74" t="str">
        <f t="shared" si="7"/>
        <v>`     Easy to transact</v>
      </c>
      <c r="I74" t="s">
        <v>522</v>
      </c>
      <c r="J74" t="str">
        <f t="shared" si="8"/>
        <v>&lt;G1P&gt;`     Easy to transact</v>
      </c>
    </row>
    <row r="75" spans="1:10" x14ac:dyDescent="0.25">
      <c r="A75" s="102">
        <v>2129</v>
      </c>
      <c r="B75" s="104" t="s">
        <v>896</v>
      </c>
      <c r="C75" t="s">
        <v>16</v>
      </c>
      <c r="D75" t="s">
        <v>318</v>
      </c>
      <c r="F75" t="s">
        <v>326</v>
      </c>
      <c r="G75">
        <f t="shared" si="6"/>
        <v>2129</v>
      </c>
      <c r="H75" t="str">
        <f t="shared" si="7"/>
        <v>`     Easy to buy load using GCash</v>
      </c>
      <c r="I75" t="s">
        <v>522</v>
      </c>
      <c r="J75" t="str">
        <f t="shared" si="8"/>
        <v>&lt;G1P&gt;`     Easy to buy load using GCash</v>
      </c>
    </row>
    <row r="76" spans="1:10" x14ac:dyDescent="0.25">
      <c r="A76" s="102">
        <v>2130</v>
      </c>
      <c r="B76" s="104" t="s">
        <v>897</v>
      </c>
      <c r="C76" t="s">
        <v>16</v>
      </c>
      <c r="D76" t="s">
        <v>318</v>
      </c>
      <c r="F76" t="s">
        <v>326</v>
      </c>
      <c r="G76">
        <f t="shared" si="6"/>
        <v>2130</v>
      </c>
      <c r="H76" t="str">
        <f t="shared" si="7"/>
        <v>`     Buying load is made easier</v>
      </c>
      <c r="I76" t="s">
        <v>522</v>
      </c>
      <c r="J76" t="str">
        <f t="shared" si="8"/>
        <v>&lt;G1P&gt;`     Buying load is made easier</v>
      </c>
    </row>
    <row r="77" spans="1:10" x14ac:dyDescent="0.25">
      <c r="A77" s="105">
        <v>2141</v>
      </c>
      <c r="B77" s="106" t="s">
        <v>494</v>
      </c>
      <c r="C77" t="s">
        <v>16</v>
      </c>
      <c r="D77" t="s">
        <v>318</v>
      </c>
      <c r="F77" t="s">
        <v>326</v>
      </c>
      <c r="G77">
        <f t="shared" si="6"/>
        <v>2141</v>
      </c>
      <c r="H77" t="str">
        <f t="shared" si="7"/>
        <v>`     Easy to use</v>
      </c>
      <c r="I77" t="s">
        <v>522</v>
      </c>
      <c r="J77" t="str">
        <f t="shared" si="8"/>
        <v>&lt;G1P&gt;`     Easy to use</v>
      </c>
    </row>
    <row r="78" spans="1:10" x14ac:dyDescent="0.25">
      <c r="A78" s="105">
        <v>2143</v>
      </c>
      <c r="B78" s="106" t="s">
        <v>898</v>
      </c>
      <c r="C78" t="s">
        <v>16</v>
      </c>
      <c r="D78" t="s">
        <v>318</v>
      </c>
      <c r="F78" t="s">
        <v>326</v>
      </c>
      <c r="G78">
        <f t="shared" si="6"/>
        <v>2143</v>
      </c>
      <c r="H78" t="str">
        <f t="shared" si="7"/>
        <v>`     Easy to navigate</v>
      </c>
      <c r="I78" t="s">
        <v>522</v>
      </c>
      <c r="J78" t="str">
        <f t="shared" si="8"/>
        <v>&lt;G1P&gt;`     Easy to navigate</v>
      </c>
    </row>
    <row r="79" spans="1:10" x14ac:dyDescent="0.25">
      <c r="A79" s="105">
        <v>2151</v>
      </c>
      <c r="B79" s="106" t="s">
        <v>899</v>
      </c>
      <c r="C79" t="s">
        <v>16</v>
      </c>
      <c r="D79" t="s">
        <v>318</v>
      </c>
      <c r="F79" t="s">
        <v>326</v>
      </c>
      <c r="G79">
        <f t="shared" si="6"/>
        <v>2151</v>
      </c>
      <c r="H79" t="str">
        <f t="shared" si="7"/>
        <v>`     Easy to receive load on GCash</v>
      </c>
      <c r="I79" t="s">
        <v>522</v>
      </c>
      <c r="J79" t="str">
        <f t="shared" si="8"/>
        <v>&lt;G1P&gt;`     Easy to receive load on GCash</v>
      </c>
    </row>
    <row r="80" spans="1:10" x14ac:dyDescent="0.25">
      <c r="A80" s="105">
        <v>2168</v>
      </c>
      <c r="B80" s="106" t="s">
        <v>900</v>
      </c>
      <c r="C80" t="s">
        <v>16</v>
      </c>
      <c r="D80" t="s">
        <v>318</v>
      </c>
      <c r="F80" t="s">
        <v>326</v>
      </c>
      <c r="G80">
        <f t="shared" si="6"/>
        <v>2168</v>
      </c>
      <c r="H80" t="str">
        <f t="shared" si="7"/>
        <v>`     Easy processing</v>
      </c>
      <c r="I80" t="s">
        <v>522</v>
      </c>
      <c r="J80" t="str">
        <f t="shared" si="8"/>
        <v>&lt;G1P&gt;`     Easy processing</v>
      </c>
    </row>
    <row r="81" spans="1:10" x14ac:dyDescent="0.25">
      <c r="A81" s="113">
        <v>2192</v>
      </c>
      <c r="B81" s="114" t="s">
        <v>901</v>
      </c>
      <c r="C81" t="s">
        <v>16</v>
      </c>
      <c r="D81" t="s">
        <v>318</v>
      </c>
      <c r="F81" t="s">
        <v>326</v>
      </c>
      <c r="G81">
        <f t="shared" si="6"/>
        <v>2192</v>
      </c>
      <c r="H81" t="str">
        <f t="shared" si="7"/>
        <v>`     No hassle to load</v>
      </c>
      <c r="I81" t="s">
        <v>522</v>
      </c>
      <c r="J81" t="str">
        <f t="shared" si="8"/>
        <v>&lt;G1P&gt;`     No hassle to load</v>
      </c>
    </row>
    <row r="82" spans="1:10" x14ac:dyDescent="0.25">
      <c r="A82" s="113">
        <v>2193</v>
      </c>
      <c r="B82" s="114" t="s">
        <v>902</v>
      </c>
      <c r="C82" t="s">
        <v>16</v>
      </c>
      <c r="D82" t="s">
        <v>318</v>
      </c>
      <c r="F82" t="s">
        <v>326</v>
      </c>
      <c r="G82">
        <f t="shared" si="6"/>
        <v>2193</v>
      </c>
      <c r="H82" t="str">
        <f t="shared" si="7"/>
        <v>`     There is always a load</v>
      </c>
      <c r="I82" t="s">
        <v>522</v>
      </c>
      <c r="J82" t="str">
        <f t="shared" si="8"/>
        <v>&lt;G1P&gt;`     There is always a load</v>
      </c>
    </row>
    <row r="83" spans="1:10" x14ac:dyDescent="0.25">
      <c r="A83" s="113">
        <v>2196</v>
      </c>
      <c r="B83" s="114" t="s">
        <v>903</v>
      </c>
      <c r="C83" t="s">
        <v>16</v>
      </c>
      <c r="D83" t="s">
        <v>318</v>
      </c>
      <c r="F83" t="s">
        <v>326</v>
      </c>
      <c r="G83">
        <f t="shared" si="6"/>
        <v>2196</v>
      </c>
      <c r="H83" t="str">
        <f t="shared" si="7"/>
        <v>`     You won't have to go out to load</v>
      </c>
      <c r="I83" t="s">
        <v>521</v>
      </c>
      <c r="J83" t="str">
        <f t="shared" si="8"/>
        <v>&lt;G2E&gt;&lt;G1P&gt;`     You won't have to go out to load</v>
      </c>
    </row>
    <row r="84" spans="1:10" ht="31.5" x14ac:dyDescent="0.25">
      <c r="A84" s="102" t="s">
        <v>941</v>
      </c>
      <c r="B84" s="103" t="s">
        <v>651</v>
      </c>
      <c r="C84" t="s">
        <v>6</v>
      </c>
      <c r="D84" t="s">
        <v>323</v>
      </c>
      <c r="E84" t="s">
        <v>322</v>
      </c>
      <c r="F84" t="s">
        <v>327</v>
      </c>
      <c r="G84" t="str">
        <f t="shared" si="6"/>
        <v>2131+2132+2133+2171+2159</v>
      </c>
      <c r="H84" t="str">
        <f t="shared" si="7"/>
        <v>`CAN USE GCASH ANYWHERE/ANYTIME (NET)&lt;Q&gt;</v>
      </c>
      <c r="J84" t="str">
        <f t="shared" si="8"/>
        <v>`CAN USE GCASH ANYWHERE/ANYTIME (NET)&lt;Q&gt;</v>
      </c>
    </row>
    <row r="85" spans="1:10" x14ac:dyDescent="0.25">
      <c r="A85" s="102">
        <v>2131</v>
      </c>
      <c r="B85" s="104" t="s">
        <v>904</v>
      </c>
      <c r="C85" t="s">
        <v>16</v>
      </c>
      <c r="D85" t="s">
        <v>318</v>
      </c>
      <c r="F85" t="s">
        <v>326</v>
      </c>
      <c r="G85">
        <f t="shared" si="6"/>
        <v>2131</v>
      </c>
      <c r="H85" t="str">
        <f t="shared" si="7"/>
        <v>`     Buy load anytime anywhere</v>
      </c>
      <c r="I85" t="s">
        <v>520</v>
      </c>
      <c r="J85" t="str">
        <f t="shared" si="8"/>
        <v>&lt;G2B&gt;&lt;G1P&gt;`     Buy load anytime anywhere</v>
      </c>
    </row>
    <row r="86" spans="1:10" x14ac:dyDescent="0.25">
      <c r="A86" s="102">
        <v>2132</v>
      </c>
      <c r="B86" s="104" t="s">
        <v>905</v>
      </c>
      <c r="C86" t="s">
        <v>16</v>
      </c>
      <c r="D86" t="s">
        <v>318</v>
      </c>
      <c r="F86" t="s">
        <v>326</v>
      </c>
      <c r="G86">
        <f t="shared" si="6"/>
        <v>2132</v>
      </c>
      <c r="H86" t="str">
        <f t="shared" si="7"/>
        <v>`     Fast transaction anytime anywhere</v>
      </c>
      <c r="I86" t="s">
        <v>522</v>
      </c>
      <c r="J86" t="str">
        <f t="shared" si="8"/>
        <v>&lt;G1P&gt;`     Fast transaction anytime anywhere</v>
      </c>
    </row>
    <row r="87" spans="1:10" x14ac:dyDescent="0.25">
      <c r="A87" s="102">
        <v>2133</v>
      </c>
      <c r="B87" s="104" t="s">
        <v>906</v>
      </c>
      <c r="C87" t="s">
        <v>16</v>
      </c>
      <c r="D87" t="s">
        <v>318</v>
      </c>
      <c r="F87" t="s">
        <v>326</v>
      </c>
      <c r="G87">
        <f t="shared" si="6"/>
        <v>2133</v>
      </c>
      <c r="H87" t="str">
        <f t="shared" si="7"/>
        <v>`     GCash is everywhere</v>
      </c>
      <c r="I87" t="s">
        <v>522</v>
      </c>
      <c r="J87" t="str">
        <f t="shared" si="8"/>
        <v>&lt;G1P&gt;`     GCash is everywhere</v>
      </c>
    </row>
    <row r="88" spans="1:10" x14ac:dyDescent="0.25">
      <c r="A88" s="105">
        <v>2171</v>
      </c>
      <c r="B88" s="106" t="s">
        <v>907</v>
      </c>
      <c r="C88" t="s">
        <v>16</v>
      </c>
      <c r="D88" t="s">
        <v>318</v>
      </c>
      <c r="F88" t="s">
        <v>326</v>
      </c>
      <c r="G88">
        <f t="shared" si="6"/>
        <v>2171</v>
      </c>
      <c r="H88" t="str">
        <f t="shared" si="7"/>
        <v>`     Load using Gcash anytime, anywhere</v>
      </c>
      <c r="I88" t="s">
        <v>522</v>
      </c>
      <c r="J88" t="str">
        <f t="shared" si="8"/>
        <v>&lt;G1P&gt;`     Load using Gcash anytime, anywhere</v>
      </c>
    </row>
    <row r="89" spans="1:10" x14ac:dyDescent="0.25">
      <c r="A89" s="105">
        <v>2159</v>
      </c>
      <c r="B89" s="106" t="s">
        <v>908</v>
      </c>
      <c r="C89" t="s">
        <v>16</v>
      </c>
      <c r="D89" t="s">
        <v>318</v>
      </c>
      <c r="F89" t="s">
        <v>326</v>
      </c>
      <c r="G89">
        <f t="shared" si="6"/>
        <v>2159</v>
      </c>
      <c r="H89" t="str">
        <f t="shared" si="7"/>
        <v>`     GCash on online transaction</v>
      </c>
      <c r="I89" t="s">
        <v>521</v>
      </c>
      <c r="J89" t="str">
        <f t="shared" si="8"/>
        <v>&lt;G2E&gt;&lt;G1P&gt;`     GCash on online transaction</v>
      </c>
    </row>
    <row r="90" spans="1:10" ht="15.75" x14ac:dyDescent="0.25">
      <c r="A90" s="102" t="s">
        <v>942</v>
      </c>
      <c r="B90" s="103" t="s">
        <v>909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2149+2150</v>
      </c>
      <c r="H90" t="str">
        <f t="shared" si="7"/>
        <v>`RELIABILITY (NET)&lt;Q&gt;</v>
      </c>
      <c r="J90" t="str">
        <f t="shared" si="8"/>
        <v>`RELIABILITY (NET)&lt;Q&gt;</v>
      </c>
    </row>
    <row r="91" spans="1:10" x14ac:dyDescent="0.25">
      <c r="A91" s="105">
        <v>2149</v>
      </c>
      <c r="B91" s="106" t="s">
        <v>910</v>
      </c>
      <c r="C91" t="s">
        <v>16</v>
      </c>
      <c r="D91" t="s">
        <v>318</v>
      </c>
      <c r="F91" t="s">
        <v>326</v>
      </c>
      <c r="G91">
        <f t="shared" si="6"/>
        <v>2149</v>
      </c>
      <c r="H91" t="str">
        <f t="shared" si="7"/>
        <v>`     Reliable to use GCash</v>
      </c>
      <c r="I91" t="s">
        <v>520</v>
      </c>
      <c r="J91" t="str">
        <f t="shared" si="8"/>
        <v>&lt;G2B&gt;&lt;G1P&gt;`     Reliable to use GCash</v>
      </c>
    </row>
    <row r="92" spans="1:10" x14ac:dyDescent="0.25">
      <c r="A92" s="105">
        <v>2150</v>
      </c>
      <c r="B92" s="106" t="s">
        <v>911</v>
      </c>
      <c r="C92" t="s">
        <v>16</v>
      </c>
      <c r="D92" t="s">
        <v>318</v>
      </c>
      <c r="F92" t="s">
        <v>326</v>
      </c>
      <c r="G92">
        <f t="shared" si="6"/>
        <v>2150</v>
      </c>
      <c r="H92" t="str">
        <f t="shared" si="7"/>
        <v>`     GCash is reliable on loading</v>
      </c>
      <c r="I92" t="s">
        <v>521</v>
      </c>
      <c r="J92" t="str">
        <f t="shared" si="8"/>
        <v>&lt;G2E&gt;&lt;G1P&gt;`     GCash is reliable on loading</v>
      </c>
    </row>
    <row r="93" spans="1:10" ht="15.75" x14ac:dyDescent="0.25">
      <c r="A93" s="102">
        <v>2139</v>
      </c>
      <c r="B93" s="103" t="s">
        <v>912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2139</v>
      </c>
      <c r="H93" t="str">
        <f t="shared" si="7"/>
        <v>`ABOUT GCASH (NET)&lt;Q&gt;</v>
      </c>
      <c r="J93" t="str">
        <f t="shared" si="8"/>
        <v>`ABOUT GCASH (NET)&lt;Q&gt;</v>
      </c>
    </row>
    <row r="94" spans="1:10" x14ac:dyDescent="0.25">
      <c r="A94" s="105">
        <v>2139</v>
      </c>
      <c r="B94" s="106" t="s">
        <v>470</v>
      </c>
      <c r="C94" t="s">
        <v>16</v>
      </c>
      <c r="D94" t="s">
        <v>318</v>
      </c>
      <c r="F94" t="s">
        <v>326</v>
      </c>
      <c r="G94">
        <f t="shared" si="6"/>
        <v>2139</v>
      </c>
      <c r="H94" t="str">
        <f t="shared" si="7"/>
        <v>`     About GCash</v>
      </c>
      <c r="I94" t="s">
        <v>522</v>
      </c>
      <c r="J94" t="str">
        <f t="shared" si="8"/>
        <v>&lt;G1P&gt;`     About GCash</v>
      </c>
    </row>
    <row r="95" spans="1:10" ht="15.75" x14ac:dyDescent="0.25">
      <c r="A95" s="102" t="s">
        <v>943</v>
      </c>
      <c r="B95" s="103" t="s">
        <v>764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2178+2179</v>
      </c>
      <c r="H95" t="str">
        <f t="shared" si="7"/>
        <v>`GCASH PROMOTION (NET)&lt;Q&gt;</v>
      </c>
      <c r="I95" t="s">
        <v>519</v>
      </c>
      <c r="J95" t="str">
        <f t="shared" si="8"/>
        <v>&lt;G1E&gt;`GCASH PROMOTION (NET)&lt;Q&gt;</v>
      </c>
    </row>
    <row r="96" spans="1:10" x14ac:dyDescent="0.25">
      <c r="A96" s="105">
        <v>2178</v>
      </c>
      <c r="B96" s="106" t="s">
        <v>913</v>
      </c>
      <c r="C96" t="s">
        <v>16</v>
      </c>
      <c r="D96" t="s">
        <v>318</v>
      </c>
      <c r="F96" t="s">
        <v>326</v>
      </c>
      <c r="G96">
        <f t="shared" si="6"/>
        <v>2178</v>
      </c>
      <c r="H96" t="str">
        <f t="shared" si="7"/>
        <v>`     Encouraging people to use GCash</v>
      </c>
      <c r="I96" t="s">
        <v>520</v>
      </c>
      <c r="J96" t="str">
        <f t="shared" si="8"/>
        <v>&lt;G2B&gt;&lt;G1P&gt;`     Encouraging people to use GCash</v>
      </c>
    </row>
    <row r="97" spans="1:10" x14ac:dyDescent="0.25">
      <c r="A97" s="105">
        <v>2179</v>
      </c>
      <c r="B97" s="106" t="s">
        <v>914</v>
      </c>
      <c r="C97" t="s">
        <v>16</v>
      </c>
      <c r="D97" t="s">
        <v>318</v>
      </c>
      <c r="F97" t="s">
        <v>326</v>
      </c>
      <c r="G97">
        <f t="shared" si="6"/>
        <v>2179</v>
      </c>
      <c r="H97" t="str">
        <f t="shared" si="7"/>
        <v>`     Advertising GCash</v>
      </c>
      <c r="I97" t="s">
        <v>521</v>
      </c>
      <c r="J97" t="str">
        <f t="shared" si="8"/>
        <v>&lt;G2E&gt;&lt;G1P&gt;`     Advertising GCash</v>
      </c>
    </row>
    <row r="98" spans="1:10" ht="28.5" x14ac:dyDescent="0.25">
      <c r="A98" s="102" t="s">
        <v>944</v>
      </c>
      <c r="B98" s="103" t="s">
        <v>332</v>
      </c>
      <c r="C98" t="s">
        <v>6</v>
      </c>
      <c r="D98" t="s">
        <v>323</v>
      </c>
      <c r="E98" t="s">
        <v>322</v>
      </c>
      <c r="F98" t="s">
        <v>327</v>
      </c>
      <c r="G98" t="str">
        <f t="shared" ref="G98:G123" si="9">IF(A98="","",A98)</f>
        <v>2134+2135+2136+2137+2160+2189+2194+2197+2199+2200</v>
      </c>
      <c r="H98" t="str">
        <f t="shared" ref="H98:H123" si="10">_xlfn.CONCAT(D98,SUBSTITUTE(B98,"""","`"""),E98)</f>
        <v>`OTHERS (NET)&lt;Q&gt;</v>
      </c>
      <c r="J98" t="str">
        <f t="shared" ref="J98:J123" si="11">_xlfn.CONCAT(I98,H98)</f>
        <v>`OTHERS (NET)&lt;Q&gt;</v>
      </c>
    </row>
    <row r="99" spans="1:10" x14ac:dyDescent="0.25">
      <c r="A99" s="102">
        <v>2134</v>
      </c>
      <c r="B99" s="104" t="s">
        <v>915</v>
      </c>
      <c r="C99" t="s">
        <v>16</v>
      </c>
      <c r="D99" t="s">
        <v>318</v>
      </c>
      <c r="F99" t="s">
        <v>326</v>
      </c>
      <c r="G99">
        <f t="shared" si="9"/>
        <v>2134</v>
      </c>
      <c r="H99" t="str">
        <f t="shared" si="10"/>
        <v>`     Amazing</v>
      </c>
      <c r="I99" t="s">
        <v>520</v>
      </c>
      <c r="J99" t="str">
        <f t="shared" si="11"/>
        <v>&lt;G2B&gt;&lt;G1P&gt;`     Amazing</v>
      </c>
    </row>
    <row r="100" spans="1:10" x14ac:dyDescent="0.25">
      <c r="A100" s="102">
        <v>2135</v>
      </c>
      <c r="B100" s="104" t="s">
        <v>916</v>
      </c>
      <c r="C100" t="s">
        <v>16</v>
      </c>
      <c r="D100" t="s">
        <v>318</v>
      </c>
      <c r="F100" t="s">
        <v>326</v>
      </c>
      <c r="G100">
        <f t="shared" si="9"/>
        <v>2135</v>
      </c>
      <c r="H100" t="str">
        <f t="shared" si="10"/>
        <v>`     Need load</v>
      </c>
      <c r="I100" t="s">
        <v>522</v>
      </c>
      <c r="J100" t="str">
        <f t="shared" si="11"/>
        <v>&lt;G1P&gt;`     Need load</v>
      </c>
    </row>
    <row r="101" spans="1:10" x14ac:dyDescent="0.25">
      <c r="A101" s="102">
        <v>2136</v>
      </c>
      <c r="B101" s="104" t="s">
        <v>917</v>
      </c>
      <c r="C101" t="s">
        <v>16</v>
      </c>
      <c r="D101" t="s">
        <v>318</v>
      </c>
      <c r="F101" t="s">
        <v>326</v>
      </c>
      <c r="G101">
        <f t="shared" si="9"/>
        <v>2136</v>
      </c>
      <c r="H101" t="str">
        <f t="shared" si="10"/>
        <v>`     Dancing</v>
      </c>
      <c r="I101" t="s">
        <v>522</v>
      </c>
      <c r="J101" t="str">
        <f t="shared" si="11"/>
        <v>&lt;G1P&gt;`     Dancing</v>
      </c>
    </row>
    <row r="102" spans="1:10" x14ac:dyDescent="0.25">
      <c r="A102" s="102">
        <v>2137</v>
      </c>
      <c r="B102" s="104" t="s">
        <v>918</v>
      </c>
      <c r="C102" t="s">
        <v>16</v>
      </c>
      <c r="D102" t="s">
        <v>318</v>
      </c>
      <c r="F102" t="s">
        <v>326</v>
      </c>
      <c r="G102">
        <f t="shared" si="9"/>
        <v>2137</v>
      </c>
      <c r="H102" t="str">
        <f t="shared" si="10"/>
        <v>`     Using Tiktok</v>
      </c>
      <c r="I102" t="s">
        <v>522</v>
      </c>
      <c r="J102" t="str">
        <f t="shared" si="11"/>
        <v>&lt;G1P&gt;`     Using Tiktok</v>
      </c>
    </row>
    <row r="103" spans="1:10" x14ac:dyDescent="0.25">
      <c r="A103" s="105">
        <v>2160</v>
      </c>
      <c r="B103" s="106" t="s">
        <v>919</v>
      </c>
      <c r="C103" t="s">
        <v>16</v>
      </c>
      <c r="D103" t="s">
        <v>318</v>
      </c>
      <c r="F103" t="s">
        <v>326</v>
      </c>
      <c r="G103">
        <f t="shared" si="9"/>
        <v>2160</v>
      </c>
      <c r="H103" t="str">
        <f t="shared" si="10"/>
        <v>`     Good offer</v>
      </c>
      <c r="I103" t="s">
        <v>522</v>
      </c>
      <c r="J103" t="str">
        <f t="shared" si="11"/>
        <v>&lt;G1P&gt;`     Good offer</v>
      </c>
    </row>
    <row r="104" spans="1:10" x14ac:dyDescent="0.25">
      <c r="A104" s="105">
        <v>2189</v>
      </c>
      <c r="B104" s="106" t="s">
        <v>683</v>
      </c>
      <c r="C104" t="s">
        <v>16</v>
      </c>
      <c r="D104" t="s">
        <v>318</v>
      </c>
      <c r="F104" t="s">
        <v>326</v>
      </c>
      <c r="G104">
        <f t="shared" si="9"/>
        <v>2189</v>
      </c>
      <c r="H104" t="str">
        <f t="shared" si="10"/>
        <v>`     Can share load</v>
      </c>
      <c r="I104" t="s">
        <v>522</v>
      </c>
      <c r="J104" t="str">
        <f t="shared" si="11"/>
        <v>&lt;G1P&gt;`     Can share load</v>
      </c>
    </row>
    <row r="105" spans="1:10" x14ac:dyDescent="0.25">
      <c r="A105" s="113">
        <v>2194</v>
      </c>
      <c r="B105" s="114" t="s">
        <v>920</v>
      </c>
      <c r="C105" t="s">
        <v>16</v>
      </c>
      <c r="D105" t="s">
        <v>318</v>
      </c>
      <c r="F105" t="s">
        <v>326</v>
      </c>
      <c r="G105">
        <f t="shared" si="9"/>
        <v>2194</v>
      </c>
      <c r="H105" t="str">
        <f t="shared" si="10"/>
        <v>`     So that the load will not be wasted</v>
      </c>
      <c r="I105" t="s">
        <v>522</v>
      </c>
      <c r="J105" t="str">
        <f t="shared" si="11"/>
        <v>&lt;G1P&gt;`     So that the load will not be wasted</v>
      </c>
    </row>
    <row r="106" spans="1:10" x14ac:dyDescent="0.25">
      <c r="A106" s="113">
        <v>2197</v>
      </c>
      <c r="B106" s="114" t="s">
        <v>921</v>
      </c>
      <c r="C106" t="s">
        <v>16</v>
      </c>
      <c r="D106" t="s">
        <v>318</v>
      </c>
      <c r="F106" t="s">
        <v>326</v>
      </c>
      <c r="G106">
        <f t="shared" si="9"/>
        <v>2197</v>
      </c>
      <c r="H106" t="str">
        <f t="shared" si="10"/>
        <v>`     No extra charge</v>
      </c>
      <c r="I106" t="s">
        <v>522</v>
      </c>
      <c r="J106" t="str">
        <f t="shared" si="11"/>
        <v>&lt;G1P&gt;`     No extra charge</v>
      </c>
    </row>
    <row r="107" spans="1:10" x14ac:dyDescent="0.25">
      <c r="A107" s="113">
        <v>2199</v>
      </c>
      <c r="B107" s="114" t="s">
        <v>922</v>
      </c>
      <c r="C107" t="s">
        <v>16</v>
      </c>
      <c r="D107" t="s">
        <v>318</v>
      </c>
      <c r="F107" t="s">
        <v>326</v>
      </c>
      <c r="G107">
        <f t="shared" si="9"/>
        <v>2199</v>
      </c>
      <c r="H107" t="str">
        <f t="shared" si="10"/>
        <v>`     The extra service fee is small</v>
      </c>
      <c r="I107" t="s">
        <v>522</v>
      </c>
      <c r="J107" t="str">
        <f t="shared" si="11"/>
        <v>&lt;G1P&gt;`     The extra service fee is small</v>
      </c>
    </row>
    <row r="108" spans="1:10" x14ac:dyDescent="0.25">
      <c r="A108" s="113">
        <v>2200</v>
      </c>
      <c r="B108" s="114" t="s">
        <v>923</v>
      </c>
      <c r="C108" t="s">
        <v>16</v>
      </c>
      <c r="D108" t="s">
        <v>318</v>
      </c>
      <c r="F108" t="s">
        <v>326</v>
      </c>
      <c r="G108">
        <f t="shared" si="9"/>
        <v>2200</v>
      </c>
      <c r="H108" t="str">
        <f t="shared" si="10"/>
        <v>`     It shows that GCash helps us everyday use like load</v>
      </c>
      <c r="I108" t="s">
        <v>521</v>
      </c>
      <c r="J108" t="str">
        <f t="shared" si="11"/>
        <v>&lt;G2E&gt;&lt;G1P&gt;`     It shows that GCash helps us everyday use like load</v>
      </c>
    </row>
    <row r="109" spans="1:10" ht="28.5" x14ac:dyDescent="0.25">
      <c r="A109" s="102" t="s">
        <v>945</v>
      </c>
      <c r="B109" s="103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2146+2153+2154+2155+2157+2162+2184+2175+2182</v>
      </c>
      <c r="H109" t="str">
        <f t="shared" si="10"/>
        <v>`VAGUE (NET)&lt;Q&gt;</v>
      </c>
      <c r="J109" t="str">
        <f t="shared" si="11"/>
        <v>`VAGUE (NET)&lt;Q&gt;</v>
      </c>
    </row>
    <row r="110" spans="1:10" x14ac:dyDescent="0.25">
      <c r="A110" s="105">
        <v>2146</v>
      </c>
      <c r="B110" s="106" t="s">
        <v>924</v>
      </c>
      <c r="C110" t="s">
        <v>16</v>
      </c>
      <c r="D110" t="s">
        <v>318</v>
      </c>
      <c r="F110" t="s">
        <v>326</v>
      </c>
      <c r="G110">
        <f t="shared" si="9"/>
        <v>2146</v>
      </c>
      <c r="H110" t="str">
        <f t="shared" si="10"/>
        <v>`     AD is okay</v>
      </c>
      <c r="I110" t="s">
        <v>520</v>
      </c>
      <c r="J110" t="str">
        <f t="shared" si="11"/>
        <v>&lt;G2B&gt;&lt;G1P&gt;`     AD is okay</v>
      </c>
    </row>
    <row r="111" spans="1:10" x14ac:dyDescent="0.25">
      <c r="A111" s="105">
        <v>2153</v>
      </c>
      <c r="B111" s="106" t="s">
        <v>925</v>
      </c>
      <c r="C111" t="s">
        <v>16</v>
      </c>
      <c r="D111" t="s">
        <v>318</v>
      </c>
      <c r="F111" t="s">
        <v>326</v>
      </c>
      <c r="G111">
        <f t="shared" si="9"/>
        <v>2153</v>
      </c>
      <c r="H111" t="str">
        <f t="shared" si="10"/>
        <v>`     Enjoy</v>
      </c>
      <c r="I111" t="s">
        <v>522</v>
      </c>
      <c r="J111" t="str">
        <f t="shared" si="11"/>
        <v>&lt;G1P&gt;`     Enjoy</v>
      </c>
    </row>
    <row r="112" spans="1:10" x14ac:dyDescent="0.25">
      <c r="A112" s="105">
        <v>2154</v>
      </c>
      <c r="B112" s="106" t="s">
        <v>926</v>
      </c>
      <c r="C112" t="s">
        <v>16</v>
      </c>
      <c r="D112" t="s">
        <v>318</v>
      </c>
      <c r="F112" t="s">
        <v>326</v>
      </c>
      <c r="G112">
        <f t="shared" si="9"/>
        <v>2154</v>
      </c>
      <c r="H112" t="str">
        <f t="shared" si="10"/>
        <v>`     Fun</v>
      </c>
      <c r="I112" t="s">
        <v>522</v>
      </c>
      <c r="J112" t="str">
        <f t="shared" si="11"/>
        <v>&lt;G1P&gt;`     Fun</v>
      </c>
    </row>
    <row r="113" spans="1:10" x14ac:dyDescent="0.25">
      <c r="A113" s="105">
        <v>2155</v>
      </c>
      <c r="B113" s="106" t="s">
        <v>927</v>
      </c>
      <c r="C113" t="s">
        <v>16</v>
      </c>
      <c r="D113" t="s">
        <v>318</v>
      </c>
      <c r="F113" t="s">
        <v>326</v>
      </c>
      <c r="G113">
        <f t="shared" si="9"/>
        <v>2155</v>
      </c>
      <c r="H113" t="str">
        <f t="shared" si="10"/>
        <v>`     Games/Gaming</v>
      </c>
      <c r="I113" t="s">
        <v>522</v>
      </c>
      <c r="J113" t="str">
        <f t="shared" si="11"/>
        <v>&lt;G1P&gt;`     Games/Gaming</v>
      </c>
    </row>
    <row r="114" spans="1:10" x14ac:dyDescent="0.25">
      <c r="A114" s="105">
        <v>2157</v>
      </c>
      <c r="B114" s="106" t="s">
        <v>787</v>
      </c>
      <c r="C114" t="s">
        <v>16</v>
      </c>
      <c r="D114" t="s">
        <v>318</v>
      </c>
      <c r="F114" t="s">
        <v>326</v>
      </c>
      <c r="G114">
        <f t="shared" si="9"/>
        <v>2157</v>
      </c>
      <c r="H114" t="str">
        <f t="shared" si="10"/>
        <v>`     Nice</v>
      </c>
      <c r="I114" t="s">
        <v>522</v>
      </c>
      <c r="J114" t="str">
        <f t="shared" si="11"/>
        <v>&lt;G1P&gt;`     Nice</v>
      </c>
    </row>
    <row r="115" spans="1:10" x14ac:dyDescent="0.25">
      <c r="A115" s="105">
        <v>2162</v>
      </c>
      <c r="B115" s="106" t="s">
        <v>928</v>
      </c>
      <c r="C115" t="s">
        <v>16</v>
      </c>
      <c r="D115" t="s">
        <v>318</v>
      </c>
      <c r="F115" t="s">
        <v>326</v>
      </c>
      <c r="G115">
        <f t="shared" si="9"/>
        <v>2162</v>
      </c>
      <c r="H115" t="str">
        <f t="shared" si="10"/>
        <v>`     Not needed</v>
      </c>
      <c r="I115" t="s">
        <v>522</v>
      </c>
      <c r="J115" t="str">
        <f t="shared" si="11"/>
        <v>&lt;G1P&gt;`     Not needed</v>
      </c>
    </row>
    <row r="116" spans="1:10" x14ac:dyDescent="0.25">
      <c r="A116" s="105">
        <v>2184</v>
      </c>
      <c r="B116" s="106" t="s">
        <v>929</v>
      </c>
      <c r="C116" t="s">
        <v>16</v>
      </c>
      <c r="D116" t="s">
        <v>318</v>
      </c>
      <c r="F116" t="s">
        <v>326</v>
      </c>
      <c r="G116">
        <f t="shared" si="9"/>
        <v>2184</v>
      </c>
      <c r="H116" t="str">
        <f t="shared" si="10"/>
        <v>`     Picture taken</v>
      </c>
      <c r="I116" t="s">
        <v>522</v>
      </c>
      <c r="J116" t="str">
        <f t="shared" si="11"/>
        <v>&lt;G1P&gt;`     Picture taken</v>
      </c>
    </row>
    <row r="117" spans="1:10" x14ac:dyDescent="0.25">
      <c r="A117" s="105">
        <v>2175</v>
      </c>
      <c r="B117" s="106" t="s">
        <v>930</v>
      </c>
      <c r="C117" t="s">
        <v>16</v>
      </c>
      <c r="D117" t="s">
        <v>318</v>
      </c>
      <c r="F117" t="s">
        <v>326</v>
      </c>
      <c r="G117">
        <f t="shared" si="9"/>
        <v>2175</v>
      </c>
      <c r="H117" t="str">
        <f t="shared" si="10"/>
        <v>`     Having salary</v>
      </c>
      <c r="I117" t="s">
        <v>522</v>
      </c>
      <c r="J117" t="str">
        <f t="shared" si="11"/>
        <v>&lt;G1P&gt;`     Having salary</v>
      </c>
    </row>
    <row r="118" spans="1:10" x14ac:dyDescent="0.25">
      <c r="A118" s="105">
        <v>2182</v>
      </c>
      <c r="B118" s="106" t="s">
        <v>931</v>
      </c>
      <c r="C118" t="s">
        <v>16</v>
      </c>
      <c r="D118" t="s">
        <v>318</v>
      </c>
      <c r="F118" t="s">
        <v>326</v>
      </c>
      <c r="G118">
        <f t="shared" si="9"/>
        <v>2182</v>
      </c>
      <c r="H118" t="str">
        <f t="shared" si="10"/>
        <v>`     They are shocked</v>
      </c>
      <c r="I118" t="s">
        <v>521</v>
      </c>
      <c r="J118" t="str">
        <f t="shared" si="11"/>
        <v>&lt;G2E&gt;&lt;G1P&gt;`     They are shocked</v>
      </c>
    </row>
    <row r="119" spans="1:10" x14ac:dyDescent="0.25">
      <c r="A119" s="105">
        <v>9994</v>
      </c>
      <c r="B119" s="106" t="s">
        <v>796</v>
      </c>
      <c r="G119">
        <f t="shared" si="9"/>
        <v>9994</v>
      </c>
      <c r="H119" t="str">
        <f t="shared" si="10"/>
        <v>No comment</v>
      </c>
      <c r="J119" t="str">
        <f t="shared" si="11"/>
        <v>No comment</v>
      </c>
    </row>
    <row r="120" spans="1:10" x14ac:dyDescent="0.25">
      <c r="A120" s="105" t="s">
        <v>932</v>
      </c>
      <c r="B120" s="106" t="s">
        <v>302</v>
      </c>
      <c r="G120" t="str">
        <f t="shared" si="9"/>
        <v>9996+9995</v>
      </c>
      <c r="H120" t="str">
        <f t="shared" si="10"/>
        <v>Can't say</v>
      </c>
      <c r="J120" t="str">
        <f t="shared" si="11"/>
        <v>Can't say</v>
      </c>
    </row>
    <row r="121" spans="1:10" x14ac:dyDescent="0.25">
      <c r="A121" s="105">
        <v>9997</v>
      </c>
      <c r="B121" s="106" t="s">
        <v>336</v>
      </c>
      <c r="G121">
        <f t="shared" si="9"/>
        <v>9997</v>
      </c>
      <c r="H121" t="str">
        <f t="shared" si="10"/>
        <v>Don't know</v>
      </c>
      <c r="J121" t="str">
        <f t="shared" si="11"/>
        <v>Don't know</v>
      </c>
    </row>
    <row r="122" spans="1:10" x14ac:dyDescent="0.25">
      <c r="A122" s="105">
        <v>9998</v>
      </c>
      <c r="B122" s="106" t="s">
        <v>797</v>
      </c>
      <c r="G122">
        <f t="shared" si="9"/>
        <v>9998</v>
      </c>
      <c r="H122" t="str">
        <f t="shared" si="10"/>
        <v>No idea</v>
      </c>
      <c r="J122" t="str">
        <f t="shared" si="11"/>
        <v>No idea</v>
      </c>
    </row>
    <row r="123" spans="1:10" x14ac:dyDescent="0.25">
      <c r="A123" s="105">
        <v>9999</v>
      </c>
      <c r="B123" s="106" t="s">
        <v>303</v>
      </c>
      <c r="G123">
        <f t="shared" si="9"/>
        <v>9999</v>
      </c>
      <c r="H123" t="str">
        <f t="shared" si="10"/>
        <v>None</v>
      </c>
      <c r="J123" t="str">
        <f t="shared" si="11"/>
        <v>None</v>
      </c>
    </row>
  </sheetData>
  <autoFilter ref="A1:C123" xr:uid="{C2FF8965-7304-4DC3-BD0A-DCCB012BBFFF}"/>
  <conditionalFormatting sqref="A1:A123">
    <cfRule type="duplicateValues" dxfId="124" priority="282"/>
    <cfRule type="duplicateValues" dxfId="123" priority="283"/>
    <cfRule type="duplicateValues" dxfId="122" priority="284"/>
    <cfRule type="duplicateValues" dxfId="121" priority="285"/>
    <cfRule type="duplicateValues" dxfId="120" priority="286"/>
  </conditionalFormatting>
  <conditionalFormatting sqref="B1:B123">
    <cfRule type="duplicateValues" dxfId="119" priority="292"/>
    <cfRule type="duplicateValues" dxfId="118" priority="293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sheetPr>
    <tabColor rgb="FF92D050"/>
  </sheetPr>
  <dimension ref="A1:J153"/>
  <sheetViews>
    <sheetView topLeftCell="A92" workbookViewId="0">
      <selection activeCell="G107" sqref="G107"/>
    </sheetView>
  </sheetViews>
  <sheetFormatPr defaultRowHeight="15" x14ac:dyDescent="0.25"/>
  <cols>
    <col min="1" max="1" width="20.5703125" customWidth="1"/>
    <col min="2" max="2" width="60.7109375" customWidth="1"/>
    <col min="8" max="8" width="25.5703125" customWidth="1"/>
  </cols>
  <sheetData>
    <row r="1" spans="1:10" x14ac:dyDescent="0.25">
      <c r="A1" s="153" t="s">
        <v>533</v>
      </c>
      <c r="B1" s="154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55" t="s">
        <v>1051</v>
      </c>
      <c r="B2" s="159" t="s">
        <v>946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2200+2201+2202+2281+2203+2237+2270+2274</v>
      </c>
      <c r="H2" t="str">
        <f>_xlfn.CONCAT(D2,SUBSTITUTE(B2,"""","`"""),E2)</f>
        <v>`CAN LOAN IN GCASH (NET)&lt;Q&gt;</v>
      </c>
      <c r="I2" t="s">
        <v>518</v>
      </c>
      <c r="J2" t="str">
        <f>_xlfn.CONCAT(I2,H2)</f>
        <v>&lt;G1B&gt;`CAN LOAN IN GCASH (NET)&lt;Q&gt;</v>
      </c>
    </row>
    <row r="3" spans="1:10" x14ac:dyDescent="0.25">
      <c r="A3" s="155">
        <v>2200</v>
      </c>
      <c r="B3" s="152" t="s">
        <v>947</v>
      </c>
      <c r="C3" t="s">
        <v>16</v>
      </c>
      <c r="D3" t="s">
        <v>318</v>
      </c>
      <c r="F3" t="s">
        <v>326</v>
      </c>
      <c r="G3">
        <f>IF(A3="","",A3)</f>
        <v>2200</v>
      </c>
      <c r="H3" t="str">
        <f>_xlfn.CONCAT(D3,SUBSTITUTE(B3,"""","`"""),E3)</f>
        <v>`     Loan offer from GCash</v>
      </c>
      <c r="I3" t="s">
        <v>520</v>
      </c>
      <c r="J3" t="str">
        <f>_xlfn.CONCAT(I3,H3)</f>
        <v>&lt;G2B&gt;&lt;G1P&gt;`     Loan offer from GCash</v>
      </c>
    </row>
    <row r="4" spans="1:10" x14ac:dyDescent="0.25">
      <c r="A4" s="155">
        <v>2201</v>
      </c>
      <c r="B4" s="152" t="s">
        <v>948</v>
      </c>
      <c r="C4" t="s">
        <v>16</v>
      </c>
      <c r="D4" t="s">
        <v>318</v>
      </c>
      <c r="F4" t="s">
        <v>326</v>
      </c>
      <c r="G4">
        <f>IF(A4="","",A4)</f>
        <v>2201</v>
      </c>
      <c r="H4" t="str">
        <f>_xlfn.CONCAT(D4,SUBSTITUTE(B4,"""","`"""),E4)</f>
        <v>`     Can loan via GCash</v>
      </c>
      <c r="I4" t="s">
        <v>522</v>
      </c>
      <c r="J4" t="str">
        <f>_xlfn.CONCAT(I4,H4)</f>
        <v>&lt;G1P&gt;`     Can loan via GCash</v>
      </c>
    </row>
    <row r="5" spans="1:10" x14ac:dyDescent="0.25">
      <c r="A5" s="155" t="s">
        <v>949</v>
      </c>
      <c r="B5" s="152" t="s">
        <v>950</v>
      </c>
      <c r="C5" t="s">
        <v>16</v>
      </c>
      <c r="D5" t="s">
        <v>318</v>
      </c>
      <c r="F5" t="s">
        <v>326</v>
      </c>
      <c r="G5" t="str">
        <f>IF(A5="","",A5)</f>
        <v>2202+2281</v>
      </c>
      <c r="H5" t="str">
        <f>_xlfn.CONCAT(D5,SUBSTITUTE(B5,"""","`"""),E5)</f>
        <v>`     Encouraging people to loan from GCash</v>
      </c>
      <c r="I5" t="s">
        <v>522</v>
      </c>
      <c r="J5" t="str">
        <f>_xlfn.CONCAT(I5,H5)</f>
        <v>&lt;G1P&gt;`     Encouraging people to loan from GCash</v>
      </c>
    </row>
    <row r="6" spans="1:10" x14ac:dyDescent="0.25">
      <c r="A6" s="155">
        <v>2203</v>
      </c>
      <c r="B6" s="152" t="s">
        <v>951</v>
      </c>
      <c r="C6" t="s">
        <v>16</v>
      </c>
      <c r="D6" t="s">
        <v>318</v>
      </c>
      <c r="F6" t="s">
        <v>326</v>
      </c>
      <c r="G6">
        <f>IF(A6="","",A6)</f>
        <v>2203</v>
      </c>
      <c r="H6" t="str">
        <f>_xlfn.CONCAT(D6,SUBSTITUTE(B6,"""","`"""),E6)</f>
        <v>`     If you need money, GCash can help</v>
      </c>
      <c r="I6" t="s">
        <v>522</v>
      </c>
      <c r="J6" t="str">
        <f>_xlfn.CONCAT(I6,H6)</f>
        <v>&lt;G1P&gt;`     If you need money, GCash can help</v>
      </c>
    </row>
    <row r="7" spans="1:10" x14ac:dyDescent="0.25">
      <c r="A7" s="158">
        <v>2237</v>
      </c>
      <c r="B7" s="157" t="s">
        <v>952</v>
      </c>
      <c r="C7" t="s">
        <v>16</v>
      </c>
      <c r="D7" t="s">
        <v>318</v>
      </c>
      <c r="F7" t="s">
        <v>326</v>
      </c>
      <c r="G7">
        <f>IF(A7="","",A7)</f>
        <v>2237</v>
      </c>
      <c r="H7" t="str">
        <f>_xlfn.CONCAT(D7,SUBSTITUTE(B7,"""","`"""),E7)</f>
        <v>`     Can barrow money from Gcash app</v>
      </c>
      <c r="I7" t="s">
        <v>522</v>
      </c>
      <c r="J7" t="str">
        <f>_xlfn.CONCAT(I7,H7)</f>
        <v>&lt;G1P&gt;`     Can barrow money from Gcash app</v>
      </c>
    </row>
    <row r="8" spans="1:10" x14ac:dyDescent="0.25">
      <c r="A8" s="161">
        <v>2270</v>
      </c>
      <c r="B8" s="160" t="s">
        <v>953</v>
      </c>
      <c r="C8" t="s">
        <v>16</v>
      </c>
      <c r="D8" t="s">
        <v>318</v>
      </c>
      <c r="F8" t="s">
        <v>326</v>
      </c>
      <c r="G8">
        <f>IF(A8="","",A8)</f>
        <v>2270</v>
      </c>
      <c r="H8" t="str">
        <f>_xlfn.CONCAT(D8,SUBSTITUTE(B8,"""","`"""),E8)</f>
        <v>`     Can get a large loan according to your needs</v>
      </c>
      <c r="I8" t="s">
        <v>522</v>
      </c>
      <c r="J8" t="str">
        <f>_xlfn.CONCAT(I8,H8)</f>
        <v>&lt;G1P&gt;`     Can get a large loan according to your needs</v>
      </c>
    </row>
    <row r="9" spans="1:10" x14ac:dyDescent="0.25">
      <c r="A9" s="161">
        <v>2274</v>
      </c>
      <c r="B9" s="160" t="s">
        <v>954</v>
      </c>
      <c r="C9" t="s">
        <v>16</v>
      </c>
      <c r="D9" t="s">
        <v>318</v>
      </c>
      <c r="F9" t="s">
        <v>326</v>
      </c>
      <c r="G9">
        <f>IF(A9="","",A9)</f>
        <v>2274</v>
      </c>
      <c r="H9" t="str">
        <f>_xlfn.CONCAT(D9,SUBSTITUTE(B9,"""","`"""),E9)</f>
        <v>`     Can loan from GCash for any amount</v>
      </c>
      <c r="I9" t="s">
        <v>521</v>
      </c>
      <c r="J9" t="str">
        <f>_xlfn.CONCAT(I9,H9)</f>
        <v>&lt;G2E&gt;&lt;G1P&gt;`     Can loan from GCash for any amount</v>
      </c>
    </row>
    <row r="10" spans="1:10" ht="31.5" x14ac:dyDescent="0.25">
      <c r="A10" s="155" t="s">
        <v>1052</v>
      </c>
      <c r="B10" s="159" t="s">
        <v>955</v>
      </c>
      <c r="C10" t="s">
        <v>6</v>
      </c>
      <c r="D10" t="s">
        <v>323</v>
      </c>
      <c r="E10" t="s">
        <v>322</v>
      </c>
      <c r="F10" t="s">
        <v>327</v>
      </c>
      <c r="G10" t="str">
        <f>IF(A10="","",A10)</f>
        <v>2204+2205+2206+2207+2208+2209</v>
      </c>
      <c r="H10" t="str">
        <f>_xlfn.CONCAT(D10,SUBSTITUTE(B10,"""","`"""),E10)</f>
        <v>`CAN LOAN FROM GCASH FOR BIG TICKET ITEMS (NET)&lt;Q&gt;</v>
      </c>
      <c r="J10" t="str">
        <f>_xlfn.CONCAT(I10,H10)</f>
        <v>`CAN LOAN FROM GCASH FOR BIG TICKET ITEMS (NET)&lt;Q&gt;</v>
      </c>
    </row>
    <row r="11" spans="1:10" x14ac:dyDescent="0.25">
      <c r="A11" s="155">
        <v>2204</v>
      </c>
      <c r="B11" s="152" t="s">
        <v>956</v>
      </c>
      <c r="C11" t="s">
        <v>16</v>
      </c>
      <c r="D11" t="s">
        <v>318</v>
      </c>
      <c r="F11" t="s">
        <v>326</v>
      </c>
      <c r="G11">
        <f>IF(A11="","",A11)</f>
        <v>2204</v>
      </c>
      <c r="H11" t="str">
        <f>_xlfn.CONCAT(D11,SUBSTITUTE(B11,"""","`"""),E11)</f>
        <v>`     Can loan from GCash to buy a new table</v>
      </c>
      <c r="I11" t="s">
        <v>520</v>
      </c>
      <c r="J11" t="str">
        <f>_xlfn.CONCAT(I11,H11)</f>
        <v>&lt;G2B&gt;&lt;G1P&gt;`     Can loan from GCash to buy a new table</v>
      </c>
    </row>
    <row r="12" spans="1:10" x14ac:dyDescent="0.25">
      <c r="A12" s="155">
        <v>2205</v>
      </c>
      <c r="B12" s="152" t="s">
        <v>957</v>
      </c>
      <c r="C12" t="s">
        <v>16</v>
      </c>
      <c r="D12" t="s">
        <v>318</v>
      </c>
      <c r="F12" t="s">
        <v>326</v>
      </c>
      <c r="G12">
        <f>IF(A12="","",A12)</f>
        <v>2205</v>
      </c>
      <c r="H12" t="str">
        <f>_xlfn.CONCAT(D12,SUBSTITUTE(B12,"""","`"""),E12)</f>
        <v>`     Can loan for house construction</v>
      </c>
      <c r="I12" t="s">
        <v>522</v>
      </c>
      <c r="J12" t="str">
        <f>_xlfn.CONCAT(I12,H12)</f>
        <v>&lt;G1P&gt;`     Can loan for house construction</v>
      </c>
    </row>
    <row r="13" spans="1:10" x14ac:dyDescent="0.25">
      <c r="A13" s="155">
        <v>2206</v>
      </c>
      <c r="B13" s="152" t="s">
        <v>958</v>
      </c>
      <c r="C13" t="s">
        <v>16</v>
      </c>
      <c r="D13" t="s">
        <v>318</v>
      </c>
      <c r="F13" t="s">
        <v>326</v>
      </c>
      <c r="G13">
        <f>IF(A13="","",A13)</f>
        <v>2206</v>
      </c>
      <c r="H13" t="str">
        <f>_xlfn.CONCAT(D13,SUBSTITUTE(B13,"""","`"""),E13)</f>
        <v>`     Was able to buy a rice cooker because of Gloan</v>
      </c>
      <c r="I13" t="s">
        <v>522</v>
      </c>
      <c r="J13" t="str">
        <f>_xlfn.CONCAT(I13,H13)</f>
        <v>&lt;G1P&gt;`     Was able to buy a rice cooker because of Gloan</v>
      </c>
    </row>
    <row r="14" spans="1:10" ht="28.5" x14ac:dyDescent="0.25">
      <c r="A14" s="151">
        <v>2207</v>
      </c>
      <c r="B14" s="152" t="s">
        <v>959</v>
      </c>
      <c r="C14" t="s">
        <v>16</v>
      </c>
      <c r="D14" t="s">
        <v>318</v>
      </c>
      <c r="F14" t="s">
        <v>326</v>
      </c>
      <c r="G14">
        <f>IF(A14="","",A14)</f>
        <v>2207</v>
      </c>
      <c r="H14" t="str">
        <f>_xlfn.CONCAT(D14,SUBSTITUTE(B14,"""","`"""),E14)</f>
        <v>`     Can loan from GCash when needed to replace broken appliances</v>
      </c>
      <c r="I14" t="s">
        <v>522</v>
      </c>
      <c r="J14" t="str">
        <f>_xlfn.CONCAT(I14,H14)</f>
        <v>&lt;G1P&gt;`     Can loan from GCash when needed to replace broken appliances</v>
      </c>
    </row>
    <row r="15" spans="1:10" x14ac:dyDescent="0.25">
      <c r="A15" s="151">
        <v>2208</v>
      </c>
      <c r="B15" s="152" t="s">
        <v>960</v>
      </c>
      <c r="C15" t="s">
        <v>16</v>
      </c>
      <c r="D15" t="s">
        <v>318</v>
      </c>
      <c r="F15" t="s">
        <v>326</v>
      </c>
      <c r="G15">
        <f>IF(A15="","",A15)</f>
        <v>2208</v>
      </c>
      <c r="H15" t="str">
        <f>_xlfn.CONCAT(D15,SUBSTITUTE(B15,"""","`"""),E15)</f>
        <v>`     Easy to replace broken appliances</v>
      </c>
      <c r="I15" t="s">
        <v>522</v>
      </c>
      <c r="J15" t="str">
        <f>_xlfn.CONCAT(I15,H15)</f>
        <v>&lt;G1P&gt;`     Easy to replace broken appliances</v>
      </c>
    </row>
    <row r="16" spans="1:10" x14ac:dyDescent="0.25">
      <c r="A16" s="156">
        <v>2209</v>
      </c>
      <c r="B16" s="152" t="s">
        <v>961</v>
      </c>
      <c r="C16" t="s">
        <v>16</v>
      </c>
      <c r="D16" t="s">
        <v>318</v>
      </c>
      <c r="F16" t="s">
        <v>326</v>
      </c>
      <c r="G16">
        <f>IF(A16="","",A16)</f>
        <v>2209</v>
      </c>
      <c r="H16" t="str">
        <f>_xlfn.CONCAT(D16,SUBSTITUTE(B16,"""","`"""),E16)</f>
        <v>`     Can buy new appliances through GLoan</v>
      </c>
      <c r="I16" t="s">
        <v>521</v>
      </c>
      <c r="J16" t="str">
        <f>_xlfn.CONCAT(I16,H16)</f>
        <v>&lt;G2E&gt;&lt;G1P&gt;`     Can buy new appliances through GLoan</v>
      </c>
    </row>
    <row r="17" spans="1:10" ht="31.5" x14ac:dyDescent="0.25">
      <c r="A17" s="156" t="s">
        <v>1492</v>
      </c>
      <c r="B17" s="159" t="s">
        <v>962</v>
      </c>
      <c r="C17" t="s">
        <v>6</v>
      </c>
      <c r="D17" t="s">
        <v>323</v>
      </c>
      <c r="E17" t="s">
        <v>322</v>
      </c>
      <c r="F17" t="s">
        <v>327</v>
      </c>
      <c r="G17" t="str">
        <f>IF(A17="","",A17)</f>
        <v>2210+2211+2212+2213+2248+2272</v>
      </c>
      <c r="H17" t="str">
        <f>_xlfn.CONCAT(D17,SUBSTITUTE(B17,"""","`"""),E17)</f>
        <v>`CAN LOAN FROM GCASH IN TIMES OF EMERGENCY (NET)&lt;Q&gt;</v>
      </c>
      <c r="J17" t="str">
        <f>_xlfn.CONCAT(I17,H17)</f>
        <v>`CAN LOAN FROM GCASH IN TIMES OF EMERGENCY (NET)&lt;Q&gt;</v>
      </c>
    </row>
    <row r="18" spans="1:10" x14ac:dyDescent="0.25">
      <c r="A18" s="156">
        <v>2210</v>
      </c>
      <c r="B18" s="152" t="s">
        <v>963</v>
      </c>
      <c r="C18" t="s">
        <v>16</v>
      </c>
      <c r="D18" t="s">
        <v>318</v>
      </c>
      <c r="F18" t="s">
        <v>326</v>
      </c>
      <c r="G18">
        <f>IF(A18="","",A18)</f>
        <v>2210</v>
      </c>
      <c r="H18" t="str">
        <f>_xlfn.CONCAT(D18,SUBSTITUTE(B18,"""","`"""),E18)</f>
        <v>`     Can loan from GCash in times of emergency</v>
      </c>
      <c r="I18" t="s">
        <v>520</v>
      </c>
      <c r="J18" t="str">
        <f>_xlfn.CONCAT(I18,H18)</f>
        <v>&lt;G2B&gt;&lt;G1P&gt;`     Can loan from GCash in times of emergency</v>
      </c>
    </row>
    <row r="19" spans="1:10" ht="28.5" x14ac:dyDescent="0.25">
      <c r="A19" s="156">
        <v>2211</v>
      </c>
      <c r="B19" s="152" t="s">
        <v>964</v>
      </c>
      <c r="C19" t="s">
        <v>16</v>
      </c>
      <c r="D19" t="s">
        <v>318</v>
      </c>
      <c r="F19" t="s">
        <v>326</v>
      </c>
      <c r="G19">
        <f>IF(A19="","",A19)</f>
        <v>2211</v>
      </c>
      <c r="H19" t="str">
        <f>_xlfn.CONCAT(D19,SUBSTITUTE(B19,"""","`"""),E19)</f>
        <v>`     GCash is a reliable brand in times of sudden problems</v>
      </c>
      <c r="I19" t="s">
        <v>522</v>
      </c>
      <c r="J19" t="str">
        <f>_xlfn.CONCAT(I19,H19)</f>
        <v>&lt;G1P&gt;`     GCash is a reliable brand in times of sudden problems</v>
      </c>
    </row>
    <row r="20" spans="1:10" x14ac:dyDescent="0.25">
      <c r="A20" s="156">
        <v>2212</v>
      </c>
      <c r="B20" s="152" t="s">
        <v>965</v>
      </c>
      <c r="C20" t="s">
        <v>16</v>
      </c>
      <c r="D20" t="s">
        <v>318</v>
      </c>
      <c r="F20" t="s">
        <v>326</v>
      </c>
      <c r="G20">
        <f>IF(A20="","",A20)</f>
        <v>2212</v>
      </c>
      <c r="H20" t="str">
        <f>_xlfn.CONCAT(D20,SUBSTITUTE(B20,"""","`"""),E20)</f>
        <v>`     GCash is a reliable brand in times of emergency</v>
      </c>
      <c r="I20" t="s">
        <v>522</v>
      </c>
      <c r="J20" t="str">
        <f>_xlfn.CONCAT(I20,H20)</f>
        <v>&lt;G1P&gt;`     GCash is a reliable brand in times of emergency</v>
      </c>
    </row>
    <row r="21" spans="1:10" x14ac:dyDescent="0.25">
      <c r="A21" s="156">
        <v>2213</v>
      </c>
      <c r="B21" s="152" t="s">
        <v>735</v>
      </c>
      <c r="C21" t="s">
        <v>16</v>
      </c>
      <c r="D21" t="s">
        <v>318</v>
      </c>
      <c r="F21" t="s">
        <v>326</v>
      </c>
      <c r="G21">
        <f>IF(A21="","",A21)</f>
        <v>2213</v>
      </c>
      <c r="H21" t="str">
        <f>_xlfn.CONCAT(D21,SUBSTITUTE(B21,"""","`"""),E21)</f>
        <v>`     GCash is reliable</v>
      </c>
      <c r="I21" t="s">
        <v>522</v>
      </c>
      <c r="J21" t="str">
        <f>_xlfn.CONCAT(I21,H21)</f>
        <v>&lt;G1P&gt;`     GCash is reliable</v>
      </c>
    </row>
    <row r="22" spans="1:10" x14ac:dyDescent="0.25">
      <c r="A22" s="162">
        <v>2248</v>
      </c>
      <c r="B22" s="157" t="s">
        <v>966</v>
      </c>
      <c r="C22" t="s">
        <v>16</v>
      </c>
      <c r="D22" t="s">
        <v>318</v>
      </c>
      <c r="F22" t="s">
        <v>326</v>
      </c>
      <c r="G22">
        <f>IF(A22="","",A22)</f>
        <v>2248</v>
      </c>
      <c r="H22" t="str">
        <f>_xlfn.CONCAT(D22,SUBSTITUTE(B22,"""","`"""),E22)</f>
        <v>`     Can get loan in times of emergency</v>
      </c>
      <c r="I22" t="s">
        <v>522</v>
      </c>
      <c r="J22" t="str">
        <f>_xlfn.CONCAT(I22,H22)</f>
        <v>&lt;G1P&gt;`     Can get loan in times of emergency</v>
      </c>
    </row>
    <row r="23" spans="1:10" x14ac:dyDescent="0.25">
      <c r="A23" s="161">
        <v>2272</v>
      </c>
      <c r="B23" s="160" t="s">
        <v>986</v>
      </c>
      <c r="C23" t="s">
        <v>16</v>
      </c>
      <c r="D23" t="s">
        <v>318</v>
      </c>
      <c r="F23" t="s">
        <v>326</v>
      </c>
      <c r="G23">
        <f>IF(A23="","",A23)</f>
        <v>2272</v>
      </c>
      <c r="H23" t="str">
        <f>_xlfn.CONCAT(D23,SUBSTITUTE(B23,"""","`"""),E23)</f>
        <v>`     GLoan helps with financial matters</v>
      </c>
      <c r="I23" t="s">
        <v>521</v>
      </c>
      <c r="J23" t="str">
        <f>_xlfn.CONCAT(I23,H23)</f>
        <v>&lt;G2E&gt;&lt;G1P&gt;`     GLoan helps with financial matters</v>
      </c>
    </row>
    <row r="24" spans="1:10" ht="15.75" x14ac:dyDescent="0.25">
      <c r="A24" s="156">
        <v>2214</v>
      </c>
      <c r="B24" s="159" t="s">
        <v>967</v>
      </c>
      <c r="C24" t="s">
        <v>6</v>
      </c>
      <c r="D24" t="s">
        <v>323</v>
      </c>
      <c r="E24" t="s">
        <v>322</v>
      </c>
      <c r="F24" t="s">
        <v>327</v>
      </c>
      <c r="G24">
        <f>IF(A24="","",A24)</f>
        <v>2214</v>
      </c>
      <c r="H24" t="str">
        <f>_xlfn.CONCAT(D24,SUBSTITUTE(B24,"""","`"""),E24)</f>
        <v>`A LOT OF EXPENSES (NET)&lt;Q&gt;</v>
      </c>
      <c r="J24" t="str">
        <f>_xlfn.CONCAT(I24,H24)</f>
        <v>`A LOT OF EXPENSES (NET)&lt;Q&gt;</v>
      </c>
    </row>
    <row r="25" spans="1:10" x14ac:dyDescent="0.25">
      <c r="A25" s="156">
        <v>2214</v>
      </c>
      <c r="B25" s="152" t="s">
        <v>968</v>
      </c>
      <c r="C25" t="s">
        <v>16</v>
      </c>
      <c r="D25" t="s">
        <v>318</v>
      </c>
      <c r="F25" t="s">
        <v>326</v>
      </c>
      <c r="G25">
        <f>IF(A25="","",A25)</f>
        <v>2214</v>
      </c>
      <c r="H25" t="str">
        <f>_xlfn.CONCAT(D25,SUBSTITUTE(B25,"""","`"""),E25)</f>
        <v>`     There are a lot of expenses</v>
      </c>
      <c r="I25" t="s">
        <v>522</v>
      </c>
      <c r="J25" t="str">
        <f>_xlfn.CONCAT(I25,H25)</f>
        <v>&lt;G1P&gt;`     There are a lot of expenses</v>
      </c>
    </row>
    <row r="26" spans="1:10" ht="31.5" x14ac:dyDescent="0.25">
      <c r="A26" s="156" t="s">
        <v>1053</v>
      </c>
      <c r="B26" s="159" t="s">
        <v>969</v>
      </c>
      <c r="C26" t="s">
        <v>6</v>
      </c>
      <c r="D26" t="s">
        <v>323</v>
      </c>
      <c r="E26" t="s">
        <v>322</v>
      </c>
      <c r="F26" t="s">
        <v>327</v>
      </c>
      <c r="G26" t="str">
        <f>IF(A26="","",A26)</f>
        <v>2215+2241+2243+2285</v>
      </c>
      <c r="H26" t="str">
        <f>_xlfn.CONCAT(D26,SUBSTITUTE(B26,"""","`"""),E26)</f>
        <v>`RELIABLE BRAND WHEN NEEDED A LOAN (NET)&lt;Q&gt;</v>
      </c>
      <c r="J26" t="str">
        <f>_xlfn.CONCAT(I26,H26)</f>
        <v>`RELIABLE BRAND WHEN NEEDED A LOAN (NET)&lt;Q&gt;</v>
      </c>
    </row>
    <row r="27" spans="1:10" ht="28.5" x14ac:dyDescent="0.25">
      <c r="A27" s="156">
        <v>2215</v>
      </c>
      <c r="B27" s="152" t="s">
        <v>970</v>
      </c>
      <c r="C27" t="s">
        <v>16</v>
      </c>
      <c r="D27" t="s">
        <v>318</v>
      </c>
      <c r="F27" t="s">
        <v>326</v>
      </c>
      <c r="G27">
        <f>IF(A27="","",A27)</f>
        <v>2215</v>
      </c>
      <c r="H27" t="str">
        <f>_xlfn.CONCAT(D27,SUBSTITUTE(B27,"""","`"""),E27)</f>
        <v>`     Reminds me that I can rely to GCash when I need a loan</v>
      </c>
      <c r="I27" t="s">
        <v>520</v>
      </c>
      <c r="J27" t="str">
        <f>_xlfn.CONCAT(I27,H27)</f>
        <v>&lt;G2B&gt;&lt;G1P&gt;`     Reminds me that I can rely to GCash when I need a loan</v>
      </c>
    </row>
    <row r="28" spans="1:10" x14ac:dyDescent="0.25">
      <c r="A28" s="162">
        <v>2241</v>
      </c>
      <c r="B28" s="157" t="s">
        <v>971</v>
      </c>
      <c r="C28" t="s">
        <v>16</v>
      </c>
      <c r="D28" t="s">
        <v>318</v>
      </c>
      <c r="F28" t="s">
        <v>326</v>
      </c>
      <c r="G28">
        <f>IF(A28="","",A28)</f>
        <v>2241</v>
      </c>
      <c r="H28" t="str">
        <f>_xlfn.CONCAT(D28,SUBSTITUTE(B28,"""","`"""),E28)</f>
        <v>`     Reliable on loan</v>
      </c>
      <c r="I28" t="s">
        <v>522</v>
      </c>
      <c r="J28" t="str">
        <f>_xlfn.CONCAT(I28,H28)</f>
        <v>&lt;G1P&gt;`     Reliable on loan</v>
      </c>
    </row>
    <row r="29" spans="1:10" x14ac:dyDescent="0.25">
      <c r="A29" s="162">
        <v>2243</v>
      </c>
      <c r="B29" s="157" t="s">
        <v>972</v>
      </c>
      <c r="C29" t="s">
        <v>16</v>
      </c>
      <c r="D29" t="s">
        <v>318</v>
      </c>
      <c r="F29" t="s">
        <v>326</v>
      </c>
      <c r="G29">
        <f>IF(A29="","",A29)</f>
        <v>2243</v>
      </c>
      <c r="H29" t="str">
        <f>_xlfn.CONCAT(D29,SUBSTITUTE(B29,"""","`"""),E29)</f>
        <v>`     Reliable in time of need of money</v>
      </c>
      <c r="I29" t="s">
        <v>522</v>
      </c>
      <c r="J29" t="str">
        <f>_xlfn.CONCAT(I29,H29)</f>
        <v>&lt;G1P&gt;`     Reliable in time of need of money</v>
      </c>
    </row>
    <row r="30" spans="1:10" x14ac:dyDescent="0.25">
      <c r="A30" s="164">
        <v>2285</v>
      </c>
      <c r="B30" s="163" t="s">
        <v>973</v>
      </c>
      <c r="C30" t="s">
        <v>16</v>
      </c>
      <c r="D30" t="s">
        <v>318</v>
      </c>
      <c r="F30" t="s">
        <v>326</v>
      </c>
      <c r="G30">
        <f>IF(A30="","",A30)</f>
        <v>2285</v>
      </c>
      <c r="H30" t="str">
        <f>_xlfn.CONCAT(D30,SUBSTITUTE(B30,"""","`"""),E30)</f>
        <v>`     GCash is reliable for expenses</v>
      </c>
      <c r="I30" t="s">
        <v>521</v>
      </c>
      <c r="J30" t="str">
        <f>_xlfn.CONCAT(I30,H30)</f>
        <v>&lt;G2E&gt;&lt;G1P&gt;`     GCash is reliable for expenses</v>
      </c>
    </row>
    <row r="31" spans="1:10" ht="15.75" x14ac:dyDescent="0.25">
      <c r="A31" s="156">
        <v>2216</v>
      </c>
      <c r="B31" s="159" t="s">
        <v>974</v>
      </c>
      <c r="C31" t="s">
        <v>6</v>
      </c>
      <c r="D31" t="s">
        <v>323</v>
      </c>
      <c r="E31" t="s">
        <v>322</v>
      </c>
      <c r="F31" t="s">
        <v>327</v>
      </c>
      <c r="G31">
        <f>IF(A31="","",A31)</f>
        <v>2216</v>
      </c>
      <c r="H31" t="str">
        <f>_xlfn.CONCAT(D31,SUBSTITUTE(B31,"""","`"""),E31)</f>
        <v>`GGIVES (NET)&lt;Q&gt;</v>
      </c>
      <c r="J31" t="str">
        <f>_xlfn.CONCAT(I31,H31)</f>
        <v>`GGIVES (NET)&lt;Q&gt;</v>
      </c>
    </row>
    <row r="32" spans="1:10" x14ac:dyDescent="0.25">
      <c r="A32" s="156">
        <v>2216</v>
      </c>
      <c r="B32" s="152" t="s">
        <v>975</v>
      </c>
      <c r="C32" t="s">
        <v>16</v>
      </c>
      <c r="D32" t="s">
        <v>318</v>
      </c>
      <c r="F32" t="s">
        <v>326</v>
      </c>
      <c r="G32">
        <f>IF(A32="","",A32)</f>
        <v>2216</v>
      </c>
      <c r="H32" t="str">
        <f>_xlfn.CONCAT(D32,SUBSTITUTE(B32,"""","`"""),E32)</f>
        <v>`     Ease of access and load through GGives</v>
      </c>
      <c r="I32" t="s">
        <v>522</v>
      </c>
      <c r="J32" t="str">
        <f>_xlfn.CONCAT(I32,H32)</f>
        <v>&lt;G1P&gt;`     Ease of access and load through GGives</v>
      </c>
    </row>
    <row r="33" spans="1:10" ht="15.75" x14ac:dyDescent="0.25">
      <c r="A33" s="156" t="s">
        <v>1493</v>
      </c>
      <c r="B33" s="159" t="s">
        <v>976</v>
      </c>
      <c r="C33" t="s">
        <v>6</v>
      </c>
      <c r="D33" t="s">
        <v>323</v>
      </c>
      <c r="E33" t="s">
        <v>322</v>
      </c>
      <c r="F33" t="s">
        <v>327</v>
      </c>
      <c r="G33" t="str">
        <f>IF(A33="","",A33)</f>
        <v>2217+2218+2219+2235+2239+2253+2254+2255+2257+2280+2283</v>
      </c>
      <c r="H33" t="str">
        <f>_xlfn.CONCAT(D33,SUBSTITUTE(B33,"""","`"""),E33)</f>
        <v>`MENTIONS OF GLOAN (NET)&lt;Q&gt;</v>
      </c>
      <c r="J33" t="str">
        <f>_xlfn.CONCAT(I33,H33)</f>
        <v>`MENTIONS OF GLOAN (NET)&lt;Q&gt;</v>
      </c>
    </row>
    <row r="34" spans="1:10" x14ac:dyDescent="0.25">
      <c r="A34" s="155">
        <v>2217</v>
      </c>
      <c r="B34" s="152" t="s">
        <v>977</v>
      </c>
      <c r="C34" t="s">
        <v>16</v>
      </c>
      <c r="D34" t="s">
        <v>318</v>
      </c>
      <c r="F34" t="s">
        <v>326</v>
      </c>
      <c r="G34">
        <f>IF(A34="","",A34)</f>
        <v>2217</v>
      </c>
      <c r="H34" t="str">
        <f>_xlfn.CONCAT(D34,SUBSTITUTE(B34,"""","`"""),E34)</f>
        <v>`     GLoan</v>
      </c>
      <c r="I34" t="s">
        <v>520</v>
      </c>
      <c r="J34" t="str">
        <f>_xlfn.CONCAT(I34,H34)</f>
        <v>&lt;G2B&gt;&lt;G1P&gt;`     GLoan</v>
      </c>
    </row>
    <row r="35" spans="1:10" x14ac:dyDescent="0.25">
      <c r="A35" s="155">
        <v>2218</v>
      </c>
      <c r="B35" s="152" t="s">
        <v>978</v>
      </c>
      <c r="C35" t="s">
        <v>16</v>
      </c>
      <c r="D35" t="s">
        <v>318</v>
      </c>
      <c r="F35" t="s">
        <v>326</v>
      </c>
      <c r="G35">
        <f>IF(A35="","",A35)</f>
        <v>2218</v>
      </c>
      <c r="H35" t="str">
        <f>_xlfn.CONCAT(D35,SUBSTITUTE(B35,"""","`"""),E35)</f>
        <v>`     Can loan via GLoan</v>
      </c>
      <c r="I35" t="s">
        <v>522</v>
      </c>
      <c r="J35" t="str">
        <f>_xlfn.CONCAT(I35,H35)</f>
        <v>&lt;G1P&gt;`     Can loan via GLoan</v>
      </c>
    </row>
    <row r="36" spans="1:10" x14ac:dyDescent="0.25">
      <c r="A36" s="155">
        <v>2219</v>
      </c>
      <c r="B36" s="152" t="s">
        <v>979</v>
      </c>
      <c r="C36" t="s">
        <v>16</v>
      </c>
      <c r="D36" t="s">
        <v>318</v>
      </c>
      <c r="F36" t="s">
        <v>326</v>
      </c>
      <c r="G36">
        <f>IF(A36="","",A36)</f>
        <v>2219</v>
      </c>
      <c r="H36" t="str">
        <f>_xlfn.CONCAT(D36,SUBSTITUTE(B36,"""","`"""),E36)</f>
        <v>`     Use GLoan</v>
      </c>
      <c r="I36" t="s">
        <v>522</v>
      </c>
      <c r="J36" t="str">
        <f>_xlfn.CONCAT(I36,H36)</f>
        <v>&lt;G1P&gt;`     Use GLoan</v>
      </c>
    </row>
    <row r="37" spans="1:10" x14ac:dyDescent="0.25">
      <c r="A37" s="158">
        <v>2235</v>
      </c>
      <c r="B37" s="157" t="s">
        <v>980</v>
      </c>
      <c r="C37" t="s">
        <v>16</v>
      </c>
      <c r="D37" t="s">
        <v>318</v>
      </c>
      <c r="F37" t="s">
        <v>326</v>
      </c>
      <c r="G37">
        <f>IF(A37="","",A37)</f>
        <v>2235</v>
      </c>
      <c r="H37" t="str">
        <f>_xlfn.CONCAT(D37,SUBSTITUTE(B37,"""","`"""),E37)</f>
        <v>`     GLoan on GCash</v>
      </c>
      <c r="I37" t="s">
        <v>522</v>
      </c>
      <c r="J37" t="str">
        <f>_xlfn.CONCAT(I37,H37)</f>
        <v>&lt;G1P&gt;`     GLoan on GCash</v>
      </c>
    </row>
    <row r="38" spans="1:10" x14ac:dyDescent="0.25">
      <c r="A38" s="158">
        <v>2239</v>
      </c>
      <c r="B38" s="157" t="s">
        <v>981</v>
      </c>
      <c r="C38" t="s">
        <v>16</v>
      </c>
      <c r="D38" t="s">
        <v>318</v>
      </c>
      <c r="F38" t="s">
        <v>326</v>
      </c>
      <c r="G38">
        <f>IF(A38="","",A38)</f>
        <v>2239</v>
      </c>
      <c r="H38" t="str">
        <f>_xlfn.CONCAT(D38,SUBSTITUTE(B38,"""","`"""),E38)</f>
        <v>`     GLoan on barrowing money from GCash</v>
      </c>
      <c r="I38" t="s">
        <v>522</v>
      </c>
      <c r="J38" t="str">
        <f>_xlfn.CONCAT(I38,H38)</f>
        <v>&lt;G1P&gt;`     GLoan on barrowing money from GCash</v>
      </c>
    </row>
    <row r="39" spans="1:10" x14ac:dyDescent="0.25">
      <c r="A39" s="158">
        <v>2253</v>
      </c>
      <c r="B39" s="157" t="s">
        <v>982</v>
      </c>
      <c r="C39" t="s">
        <v>16</v>
      </c>
      <c r="D39" t="s">
        <v>318</v>
      </c>
      <c r="F39" t="s">
        <v>326</v>
      </c>
      <c r="G39">
        <f>IF(A39="","",A39)</f>
        <v>2253</v>
      </c>
      <c r="H39" t="str">
        <f>_xlfn.CONCAT(D39,SUBSTITUTE(B39,"""","`"""),E39)</f>
        <v>`     Can loan on GLoan for all expenses</v>
      </c>
      <c r="I39" t="s">
        <v>522</v>
      </c>
      <c r="J39" t="str">
        <f>_xlfn.CONCAT(I39,H39)</f>
        <v>&lt;G1P&gt;`     Can loan on GLoan for all expenses</v>
      </c>
    </row>
    <row r="40" spans="1:10" x14ac:dyDescent="0.25">
      <c r="A40" s="158">
        <v>2254</v>
      </c>
      <c r="B40" s="157" t="s">
        <v>983</v>
      </c>
      <c r="C40" t="s">
        <v>16</v>
      </c>
      <c r="D40" t="s">
        <v>318</v>
      </c>
      <c r="F40" t="s">
        <v>326</v>
      </c>
      <c r="G40">
        <f>IF(A40="","",A40)</f>
        <v>2254</v>
      </c>
      <c r="H40" t="str">
        <f>_xlfn.CONCAT(D40,SUBSTITUTE(B40,"""","`"""),E40)</f>
        <v>`     Can loan cash using GLoan</v>
      </c>
      <c r="I40" t="s">
        <v>522</v>
      </c>
      <c r="J40" t="str">
        <f>_xlfn.CONCAT(I40,H40)</f>
        <v>&lt;G1P&gt;`     Can loan cash using GLoan</v>
      </c>
    </row>
    <row r="41" spans="1:10" x14ac:dyDescent="0.25">
      <c r="A41" s="158">
        <v>2255</v>
      </c>
      <c r="B41" s="157" t="s">
        <v>984</v>
      </c>
      <c r="C41" t="s">
        <v>16</v>
      </c>
      <c r="D41" t="s">
        <v>318</v>
      </c>
      <c r="F41" t="s">
        <v>326</v>
      </c>
      <c r="G41">
        <f>IF(A41="","",A41)</f>
        <v>2255</v>
      </c>
      <c r="H41" t="str">
        <f>_xlfn.CONCAT(D41,SUBSTITUTE(B41,"""","`"""),E41)</f>
        <v>`     Can loan on GCash using GLoan</v>
      </c>
      <c r="I41" t="s">
        <v>522</v>
      </c>
      <c r="J41" t="str">
        <f>_xlfn.CONCAT(I41,H41)</f>
        <v>&lt;G1P&gt;`     Can loan on GCash using GLoan</v>
      </c>
    </row>
    <row r="42" spans="1:10" x14ac:dyDescent="0.25">
      <c r="A42" s="158">
        <v>2257</v>
      </c>
      <c r="B42" s="157" t="s">
        <v>985</v>
      </c>
      <c r="C42" t="s">
        <v>16</v>
      </c>
      <c r="D42" t="s">
        <v>318</v>
      </c>
      <c r="F42" t="s">
        <v>326</v>
      </c>
      <c r="G42">
        <f>IF(A42="","",A42)</f>
        <v>2257</v>
      </c>
      <c r="H42" t="str">
        <f>_xlfn.CONCAT(D42,SUBSTITUTE(B42,"""","`"""),E42)</f>
        <v>`     Theres is Gloan in times of need</v>
      </c>
      <c r="I42" t="s">
        <v>522</v>
      </c>
      <c r="J42" t="str">
        <f>_xlfn.CONCAT(I42,H42)</f>
        <v>&lt;G1P&gt;`     Theres is Gloan in times of need</v>
      </c>
    </row>
    <row r="43" spans="1:10" x14ac:dyDescent="0.25">
      <c r="A43" s="165">
        <v>2280</v>
      </c>
      <c r="B43" s="163" t="s">
        <v>991</v>
      </c>
      <c r="C43" t="s">
        <v>16</v>
      </c>
      <c r="D43" t="s">
        <v>318</v>
      </c>
      <c r="F43" t="s">
        <v>326</v>
      </c>
      <c r="G43">
        <f>IF(A43="","",A43)</f>
        <v>2280</v>
      </c>
      <c r="H43" t="str">
        <f>_xlfn.CONCAT(D43,SUBSTITUTE(B43,"""","`"""),E43)</f>
        <v>`     Avail GLoan</v>
      </c>
      <c r="I43" t="s">
        <v>522</v>
      </c>
      <c r="J43" t="str">
        <f>_xlfn.CONCAT(I43,H43)</f>
        <v>&lt;G1P&gt;`     Avail GLoan</v>
      </c>
    </row>
    <row r="44" spans="1:10" x14ac:dyDescent="0.25">
      <c r="A44" s="165">
        <v>2283</v>
      </c>
      <c r="B44" s="163" t="s">
        <v>1042</v>
      </c>
      <c r="C44" t="s">
        <v>16</v>
      </c>
      <c r="D44" t="s">
        <v>318</v>
      </c>
      <c r="F44" t="s">
        <v>326</v>
      </c>
      <c r="G44">
        <f>IF(A44="","",A44)</f>
        <v>2283</v>
      </c>
      <c r="H44" t="str">
        <f>_xlfn.CONCAT(D44,SUBSTITUTE(B44,"""","`"""),E44)</f>
        <v>`     Can pay with gcash loan</v>
      </c>
      <c r="I44" t="s">
        <v>521</v>
      </c>
      <c r="J44" t="str">
        <f>_xlfn.CONCAT(I44,H44)</f>
        <v>&lt;G2E&gt;&lt;G1P&gt;`     Can pay with gcash loan</v>
      </c>
    </row>
    <row r="45" spans="1:10" ht="31.5" x14ac:dyDescent="0.25">
      <c r="A45" s="155" t="s">
        <v>1494</v>
      </c>
      <c r="B45" s="159" t="s">
        <v>1490</v>
      </c>
      <c r="C45" t="s">
        <v>6</v>
      </c>
      <c r="D45" t="s">
        <v>323</v>
      </c>
      <c r="E45" t="s">
        <v>322</v>
      </c>
      <c r="F45" t="s">
        <v>327</v>
      </c>
      <c r="G45" t="str">
        <f>IF(A45="","",A45)</f>
        <v>2275+2273</v>
      </c>
      <c r="H45" t="str">
        <f>_xlfn.CONCAT(D45,SUBSTITUTE(B45,"""","`"""),E45)</f>
        <v>`GAN GET INSTANT LOAN FROM GLOAN (NET)&lt;Q&gt;</v>
      </c>
      <c r="J45" t="str">
        <f>_xlfn.CONCAT(I45,H45)</f>
        <v>`GAN GET INSTANT LOAN FROM GLOAN (NET)&lt;Q&gt;</v>
      </c>
    </row>
    <row r="46" spans="1:10" x14ac:dyDescent="0.25">
      <c r="A46" s="165">
        <v>2275</v>
      </c>
      <c r="B46" s="163" t="s">
        <v>987</v>
      </c>
      <c r="C46" t="s">
        <v>16</v>
      </c>
      <c r="D46" t="s">
        <v>318</v>
      </c>
      <c r="F46" t="s">
        <v>326</v>
      </c>
      <c r="G46">
        <f>IF(A46="","",A46)</f>
        <v>2275</v>
      </c>
      <c r="H46" t="str">
        <f>_xlfn.CONCAT(D46,SUBSTITUTE(B46,"""","`"""),E46)</f>
        <v>`     Instant loan on GLoan from GCash</v>
      </c>
      <c r="I46" t="s">
        <v>520</v>
      </c>
      <c r="J46" t="str">
        <f>_xlfn.CONCAT(I46,H46)</f>
        <v>&lt;G2B&gt;&lt;G1P&gt;`     Instant loan on GLoan from GCash</v>
      </c>
    </row>
    <row r="47" spans="1:10" x14ac:dyDescent="0.25">
      <c r="A47" s="161">
        <v>2273</v>
      </c>
      <c r="B47" s="160" t="s">
        <v>1040</v>
      </c>
      <c r="C47" t="s">
        <v>16</v>
      </c>
      <c r="D47" t="s">
        <v>318</v>
      </c>
      <c r="F47" t="s">
        <v>326</v>
      </c>
      <c r="G47">
        <f>IF(A47="","",A47)</f>
        <v>2273</v>
      </c>
      <c r="H47" t="str">
        <f>_xlfn.CONCAT(D47,SUBSTITUTE(B47,"""","`"""),E47)</f>
        <v>`     GLoan for instant access to cash</v>
      </c>
      <c r="I47" t="s">
        <v>521</v>
      </c>
      <c r="J47" t="str">
        <f>_xlfn.CONCAT(I47,H47)</f>
        <v>&lt;G2E&gt;&lt;G1P&gt;`     GLoan for instant access to cash</v>
      </c>
    </row>
    <row r="48" spans="1:10" ht="15.75" x14ac:dyDescent="0.25">
      <c r="A48" s="155">
        <v>2220</v>
      </c>
      <c r="B48" s="159" t="s">
        <v>993</v>
      </c>
      <c r="C48" t="s">
        <v>6</v>
      </c>
      <c r="D48" t="s">
        <v>323</v>
      </c>
      <c r="E48" t="s">
        <v>322</v>
      </c>
      <c r="F48" t="s">
        <v>327</v>
      </c>
      <c r="G48">
        <f>IF(A48="","",A48)</f>
        <v>2220</v>
      </c>
      <c r="H48" t="str">
        <f>_xlfn.CONCAT(D48,SUBSTITUTE(B48,"""","`"""),E48)</f>
        <v>`MENTIONS OF TAGLINE (NET)&lt;Q&gt;</v>
      </c>
      <c r="J48" t="str">
        <f>_xlfn.CONCAT(I48,H48)</f>
        <v>`MENTIONS OF TAGLINE (NET)&lt;Q&gt;</v>
      </c>
    </row>
    <row r="49" spans="1:10" x14ac:dyDescent="0.25">
      <c r="A49" s="155">
        <v>2220</v>
      </c>
      <c r="B49" s="152" t="s">
        <v>994</v>
      </c>
      <c r="C49" t="s">
        <v>16</v>
      </c>
      <c r="D49" t="s">
        <v>318</v>
      </c>
      <c r="F49" t="s">
        <v>326</v>
      </c>
      <c r="G49">
        <f>IF(A49="","",A49)</f>
        <v>2220</v>
      </c>
      <c r="H49" t="str">
        <f>_xlfn.CONCAT(D49,SUBSTITUTE(B49,"""","`"""),E49)</f>
        <v>`     `"Kaya today with Gloan`"</v>
      </c>
      <c r="I49" t="s">
        <v>522</v>
      </c>
      <c r="J49" t="str">
        <f>_xlfn.CONCAT(I49,H49)</f>
        <v>&lt;G1P&gt;`     `"Kaya today with Gloan`"</v>
      </c>
    </row>
    <row r="50" spans="1:10" ht="42.75" x14ac:dyDescent="0.25">
      <c r="A50" s="155" t="s">
        <v>1495</v>
      </c>
      <c r="B50" s="159" t="s">
        <v>995</v>
      </c>
      <c r="C50" t="s">
        <v>6</v>
      </c>
      <c r="D50" t="s">
        <v>323</v>
      </c>
      <c r="E50" t="s">
        <v>322</v>
      </c>
      <c r="F50" t="s">
        <v>327</v>
      </c>
      <c r="G50" t="str">
        <f>IF(A50="","",A50)</f>
        <v>2221+2250+2256+2276+2277+2278+2265+2282+2290</v>
      </c>
      <c r="H50" t="str">
        <f>_xlfn.CONCAT(D50,SUBSTITUTE(B50,"""","`"""),E50)</f>
        <v>`CAN LOAN FROM GCASH TO AUGMENT INCOME &amp; FOR EXPENSES (NET)&lt;Q&gt;</v>
      </c>
      <c r="J50" t="str">
        <f>_xlfn.CONCAT(I50,H50)</f>
        <v>`CAN LOAN FROM GCASH TO AUGMENT INCOME &amp; FOR EXPENSES (NET)&lt;Q&gt;</v>
      </c>
    </row>
    <row r="51" spans="1:10" x14ac:dyDescent="0.25">
      <c r="A51" s="155">
        <v>2221</v>
      </c>
      <c r="B51" s="152" t="s">
        <v>996</v>
      </c>
      <c r="C51" t="s">
        <v>16</v>
      </c>
      <c r="D51" t="s">
        <v>318</v>
      </c>
      <c r="F51" t="s">
        <v>326</v>
      </c>
      <c r="G51">
        <f>IF(A51="","",A51)</f>
        <v>2221</v>
      </c>
      <c r="H51" t="str">
        <f>_xlfn.CONCAT(D51,SUBSTITUTE(B51,"""","`"""),E51)</f>
        <v>`     Can loan via GCash to settle all my expenses</v>
      </c>
      <c r="I51" t="s">
        <v>520</v>
      </c>
      <c r="J51" t="str">
        <f>_xlfn.CONCAT(I51,H51)</f>
        <v>&lt;G2B&gt;&lt;G1P&gt;`     Can loan via GCash to settle all my expenses</v>
      </c>
    </row>
    <row r="52" spans="1:10" x14ac:dyDescent="0.25">
      <c r="A52" s="158">
        <v>2250</v>
      </c>
      <c r="B52" s="157" t="s">
        <v>997</v>
      </c>
      <c r="C52" t="s">
        <v>16</v>
      </c>
      <c r="D52" t="s">
        <v>318</v>
      </c>
      <c r="F52" t="s">
        <v>326</v>
      </c>
      <c r="G52">
        <f>IF(A52="","",A52)</f>
        <v>2250</v>
      </c>
      <c r="H52" t="str">
        <f>_xlfn.CONCAT(D52,SUBSTITUTE(B52,"""","`"""),E52)</f>
        <v>`     Can help in paying bills</v>
      </c>
      <c r="I52" t="s">
        <v>522</v>
      </c>
      <c r="J52" t="str">
        <f>_xlfn.CONCAT(I52,H52)</f>
        <v>&lt;G1P&gt;`     Can help in paying bills</v>
      </c>
    </row>
    <row r="53" spans="1:10" x14ac:dyDescent="0.25">
      <c r="A53" s="158">
        <v>2256</v>
      </c>
      <c r="B53" s="157" t="s">
        <v>998</v>
      </c>
      <c r="C53" t="s">
        <v>16</v>
      </c>
      <c r="D53" t="s">
        <v>318</v>
      </c>
      <c r="F53" t="s">
        <v>326</v>
      </c>
      <c r="G53">
        <f>IF(A53="","",A53)</f>
        <v>2256</v>
      </c>
      <c r="H53" t="str">
        <f>_xlfn.CONCAT(D53,SUBSTITUTE(B53,"""","`"""),E53)</f>
        <v>`     GCash to help in expenses</v>
      </c>
      <c r="I53" t="s">
        <v>522</v>
      </c>
      <c r="J53" t="str">
        <f>_xlfn.CONCAT(I53,H53)</f>
        <v>&lt;G1P&gt;`     GCash to help in expenses</v>
      </c>
    </row>
    <row r="54" spans="1:10" x14ac:dyDescent="0.25">
      <c r="A54" s="165">
        <v>2276</v>
      </c>
      <c r="B54" s="163" t="s">
        <v>988</v>
      </c>
      <c r="C54" t="s">
        <v>16</v>
      </c>
      <c r="D54" t="s">
        <v>318</v>
      </c>
      <c r="F54" t="s">
        <v>326</v>
      </c>
      <c r="G54">
        <f>IF(A54="","",A54)</f>
        <v>2276</v>
      </c>
      <c r="H54" t="str">
        <f>_xlfn.CONCAT(D54,SUBSTITUTE(B54,"""","`"""),E54)</f>
        <v>`     Multiple home expense can loan via GLoan</v>
      </c>
      <c r="I54" t="s">
        <v>522</v>
      </c>
      <c r="J54" t="str">
        <f>_xlfn.CONCAT(I54,H54)</f>
        <v>&lt;G1P&gt;`     Multiple home expense can loan via GLoan</v>
      </c>
    </row>
    <row r="55" spans="1:10" x14ac:dyDescent="0.25">
      <c r="A55" s="165">
        <v>2277</v>
      </c>
      <c r="B55" s="163" t="s">
        <v>989</v>
      </c>
      <c r="C55" t="s">
        <v>16</v>
      </c>
      <c r="D55" t="s">
        <v>318</v>
      </c>
      <c r="F55" t="s">
        <v>326</v>
      </c>
      <c r="G55">
        <f>IF(A55="","",A55)</f>
        <v>2277</v>
      </c>
      <c r="H55" t="str">
        <f>_xlfn.CONCAT(D55,SUBSTITUTE(B55,"""","`"""),E55)</f>
        <v>`     Mutiple paying bills can loan via GLoan</v>
      </c>
      <c r="I55" t="s">
        <v>522</v>
      </c>
      <c r="J55" t="str">
        <f>_xlfn.CONCAT(I55,H55)</f>
        <v>&lt;G1P&gt;`     Mutiple paying bills can loan via GLoan</v>
      </c>
    </row>
    <row r="56" spans="1:10" x14ac:dyDescent="0.25">
      <c r="A56" s="165">
        <v>2278</v>
      </c>
      <c r="B56" s="163" t="s">
        <v>990</v>
      </c>
      <c r="C56" t="s">
        <v>16</v>
      </c>
      <c r="D56" t="s">
        <v>318</v>
      </c>
      <c r="F56" t="s">
        <v>326</v>
      </c>
      <c r="G56">
        <f>IF(A56="","",A56)</f>
        <v>2278</v>
      </c>
      <c r="H56" t="str">
        <f>_xlfn.CONCAT(D56,SUBSTITUTE(B56,"""","`"""),E56)</f>
        <v>`     Multiple expenses can loan via GLoan</v>
      </c>
      <c r="I56" t="s">
        <v>522</v>
      </c>
      <c r="J56" t="str">
        <f>_xlfn.CONCAT(I56,H56)</f>
        <v>&lt;G1P&gt;`     Multiple expenses can loan via GLoan</v>
      </c>
    </row>
    <row r="57" spans="1:10" x14ac:dyDescent="0.25">
      <c r="A57" s="161">
        <v>2265</v>
      </c>
      <c r="B57" s="160" t="s">
        <v>1039</v>
      </c>
      <c r="C57" t="s">
        <v>16</v>
      </c>
      <c r="D57" t="s">
        <v>318</v>
      </c>
      <c r="F57" t="s">
        <v>326</v>
      </c>
      <c r="G57">
        <f>IF(A57="","",A57)</f>
        <v>2265</v>
      </c>
      <c r="H57" t="str">
        <f>_xlfn.CONCAT(D57,SUBSTITUTE(B57,"""","`"""),E57)</f>
        <v>`     Can use GCash for your home expenses</v>
      </c>
      <c r="I57" t="s">
        <v>522</v>
      </c>
      <c r="J57" t="str">
        <f>_xlfn.CONCAT(I57,H57)</f>
        <v>&lt;G1P&gt;`     Can use GCash for your home expenses</v>
      </c>
    </row>
    <row r="58" spans="1:10" x14ac:dyDescent="0.25">
      <c r="A58" s="165">
        <v>2282</v>
      </c>
      <c r="B58" s="163" t="s">
        <v>1041</v>
      </c>
      <c r="C58" t="s">
        <v>16</v>
      </c>
      <c r="D58" t="s">
        <v>318</v>
      </c>
      <c r="F58" t="s">
        <v>326</v>
      </c>
      <c r="G58">
        <f>IF(A58="","",A58)</f>
        <v>2282</v>
      </c>
      <c r="H58" t="str">
        <f>_xlfn.CONCAT(D58,SUBSTITUTE(B58,"""","`"""),E58)</f>
        <v>`     School loan</v>
      </c>
      <c r="I58" t="s">
        <v>522</v>
      </c>
      <c r="J58" t="str">
        <f>_xlfn.CONCAT(I58,H58)</f>
        <v>&lt;G1P&gt;`     School loan</v>
      </c>
    </row>
    <row r="59" spans="1:10" x14ac:dyDescent="0.25">
      <c r="A59" s="165">
        <v>2290</v>
      </c>
      <c r="B59" s="163" t="s">
        <v>1047</v>
      </c>
      <c r="C59" t="s">
        <v>16</v>
      </c>
      <c r="D59" t="s">
        <v>318</v>
      </c>
      <c r="F59" t="s">
        <v>326</v>
      </c>
      <c r="G59">
        <f>IF(A59="","",A59)</f>
        <v>2290</v>
      </c>
      <c r="H59" t="str">
        <f>_xlfn.CONCAT(D59,SUBSTITUTE(B59,"""","`"""),E59)</f>
        <v>`     Easy to get all your basic needs</v>
      </c>
      <c r="I59" t="s">
        <v>521</v>
      </c>
      <c r="J59" t="str">
        <f>_xlfn.CONCAT(I59,H59)</f>
        <v>&lt;G2E&gt;&lt;G1P&gt;`     Easy to get all your basic needs</v>
      </c>
    </row>
    <row r="60" spans="1:10" ht="15.75" x14ac:dyDescent="0.25">
      <c r="A60" s="155" t="s">
        <v>1054</v>
      </c>
      <c r="B60" s="159" t="s">
        <v>999</v>
      </c>
      <c r="C60" t="s">
        <v>6</v>
      </c>
      <c r="D60" t="s">
        <v>323</v>
      </c>
      <c r="E60" t="s">
        <v>322</v>
      </c>
      <c r="F60" t="s">
        <v>327</v>
      </c>
      <c r="G60" t="str">
        <f>IF(A60="","",A60)</f>
        <v>2222+2240</v>
      </c>
      <c r="H60" t="str">
        <f>_xlfn.CONCAT(D60,SUBSTITUTE(B60,"""","`"""),E60)</f>
        <v>`CAN GET LOAN FAST FROM GCASH (NET)&lt;Q&gt;</v>
      </c>
      <c r="J60" t="str">
        <f>_xlfn.CONCAT(I60,H60)</f>
        <v>`CAN GET LOAN FAST FROM GCASH (NET)&lt;Q&gt;</v>
      </c>
    </row>
    <row r="61" spans="1:10" x14ac:dyDescent="0.25">
      <c r="A61" s="155">
        <v>2222</v>
      </c>
      <c r="B61" s="152" t="s">
        <v>1000</v>
      </c>
      <c r="C61" t="s">
        <v>16</v>
      </c>
      <c r="D61" t="s">
        <v>318</v>
      </c>
      <c r="F61" t="s">
        <v>326</v>
      </c>
      <c r="G61">
        <f>IF(A61="","",A61)</f>
        <v>2222</v>
      </c>
      <c r="H61" t="str">
        <f>_xlfn.CONCAT(D61,SUBSTITUTE(B61,"""","`"""),E61)</f>
        <v>`     Can get loan fast from GCash</v>
      </c>
      <c r="I61" t="s">
        <v>520</v>
      </c>
      <c r="J61" t="str">
        <f>_xlfn.CONCAT(I61,H61)</f>
        <v>&lt;G2B&gt;&lt;G1P&gt;`     Can get loan fast from GCash</v>
      </c>
    </row>
    <row r="62" spans="1:10" x14ac:dyDescent="0.25">
      <c r="A62" s="158">
        <v>2240</v>
      </c>
      <c r="B62" s="157" t="s">
        <v>1001</v>
      </c>
      <c r="C62" t="s">
        <v>16</v>
      </c>
      <c r="D62" t="s">
        <v>318</v>
      </c>
      <c r="F62" t="s">
        <v>326</v>
      </c>
      <c r="G62">
        <f>IF(A62="","",A62)</f>
        <v>2240</v>
      </c>
      <c r="H62" t="str">
        <f>_xlfn.CONCAT(D62,SUBSTITUTE(B62,"""","`"""),E62)</f>
        <v>`     Fast approval of loan</v>
      </c>
      <c r="I62" t="s">
        <v>521</v>
      </c>
      <c r="J62" t="str">
        <f>_xlfn.CONCAT(I62,H62)</f>
        <v>&lt;G2E&gt;&lt;G1P&gt;`     Fast approval of loan</v>
      </c>
    </row>
    <row r="63" spans="1:10" ht="15.75" x14ac:dyDescent="0.25">
      <c r="A63" s="155">
        <v>2223</v>
      </c>
      <c r="B63" s="159" t="s">
        <v>1002</v>
      </c>
      <c r="C63" t="s">
        <v>6</v>
      </c>
      <c r="D63" t="s">
        <v>323</v>
      </c>
      <c r="E63" t="s">
        <v>322</v>
      </c>
      <c r="F63" t="s">
        <v>327</v>
      </c>
      <c r="G63">
        <f>IF(A63="","",A63)</f>
        <v>2223</v>
      </c>
      <c r="H63" t="str">
        <f>_xlfn.CONCAT(D63,SUBSTITUTE(B63,"""","`"""),E63)</f>
        <v>`LOW INTEREST (NET)&lt;Q&gt;</v>
      </c>
      <c r="J63" t="str">
        <f>_xlfn.CONCAT(I63,H63)</f>
        <v>`LOW INTEREST (NET)&lt;Q&gt;</v>
      </c>
    </row>
    <row r="64" spans="1:10" x14ac:dyDescent="0.25">
      <c r="A64" s="155">
        <v>2223</v>
      </c>
      <c r="B64" s="152" t="s">
        <v>1003</v>
      </c>
      <c r="C64" t="s">
        <v>16</v>
      </c>
      <c r="D64" t="s">
        <v>318</v>
      </c>
      <c r="F64" t="s">
        <v>326</v>
      </c>
      <c r="G64">
        <f>IF(A64="","",A64)</f>
        <v>2223</v>
      </c>
      <c r="H64" t="str">
        <f>_xlfn.CONCAT(D64,SUBSTITUTE(B64,"""","`"""),E64)</f>
        <v>`     Can loan with loan with low interest</v>
      </c>
      <c r="I64" t="s">
        <v>522</v>
      </c>
      <c r="J64" t="str">
        <f>_xlfn.CONCAT(I64,H64)</f>
        <v>&lt;G1P&gt;`     Can loan with loan with low interest</v>
      </c>
    </row>
    <row r="65" spans="1:10" ht="15.75" x14ac:dyDescent="0.25">
      <c r="A65" s="155" t="s">
        <v>1055</v>
      </c>
      <c r="B65" s="159" t="s">
        <v>1004</v>
      </c>
      <c r="C65" t="s">
        <v>6</v>
      </c>
      <c r="D65" t="s">
        <v>323</v>
      </c>
      <c r="E65" t="s">
        <v>322</v>
      </c>
      <c r="F65" t="s">
        <v>327</v>
      </c>
      <c r="G65" t="str">
        <f>IF(A65="","",A65)</f>
        <v>2224+2234+2269</v>
      </c>
      <c r="H65" t="str">
        <f>_xlfn.CONCAT(D65,SUBSTITUTE(B65,"""","`"""),E65)</f>
        <v>`FAST PROCESSING OF LOAN (NET)&lt;Q&gt;</v>
      </c>
      <c r="J65" t="str">
        <f>_xlfn.CONCAT(I65,H65)</f>
        <v>`FAST PROCESSING OF LOAN (NET)&lt;Q&gt;</v>
      </c>
    </row>
    <row r="66" spans="1:10" x14ac:dyDescent="0.25">
      <c r="A66" s="155">
        <v>2224</v>
      </c>
      <c r="B66" s="152" t="s">
        <v>1005</v>
      </c>
      <c r="C66" t="s">
        <v>16</v>
      </c>
      <c r="D66" t="s">
        <v>318</v>
      </c>
      <c r="F66" t="s">
        <v>326</v>
      </c>
      <c r="G66">
        <f>IF(A66="","",A66)</f>
        <v>2224</v>
      </c>
      <c r="H66" t="str">
        <f>_xlfn.CONCAT(D66,SUBSTITUTE(B66,"""","`"""),E66)</f>
        <v>`     Fast processing of loan</v>
      </c>
      <c r="I66" t="s">
        <v>520</v>
      </c>
      <c r="J66" t="str">
        <f>_xlfn.CONCAT(I66,H66)</f>
        <v>&lt;G2B&gt;&lt;G1P&gt;`     Fast processing of loan</v>
      </c>
    </row>
    <row r="67" spans="1:10" x14ac:dyDescent="0.25">
      <c r="A67" s="155">
        <v>2234</v>
      </c>
      <c r="B67" s="152" t="s">
        <v>1006</v>
      </c>
      <c r="C67" t="s">
        <v>16</v>
      </c>
      <c r="D67" t="s">
        <v>318</v>
      </c>
      <c r="F67" t="s">
        <v>326</v>
      </c>
      <c r="G67">
        <f>IF(A67="","",A67)</f>
        <v>2234</v>
      </c>
      <c r="H67" t="str">
        <f>_xlfn.CONCAT(D67,SUBSTITUTE(B67,"""","`"""),E67)</f>
        <v>`     Fast processing of loan from GLoan</v>
      </c>
      <c r="I67" t="s">
        <v>522</v>
      </c>
      <c r="J67" t="str">
        <f>_xlfn.CONCAT(I67,H67)</f>
        <v>&lt;G1P&gt;`     Fast processing of loan from GLoan</v>
      </c>
    </row>
    <row r="68" spans="1:10" x14ac:dyDescent="0.25">
      <c r="A68" s="161">
        <v>2269</v>
      </c>
      <c r="B68" s="160" t="s">
        <v>412</v>
      </c>
      <c r="C68" t="s">
        <v>16</v>
      </c>
      <c r="D68" t="s">
        <v>318</v>
      </c>
      <c r="F68" t="s">
        <v>326</v>
      </c>
      <c r="G68">
        <f>IF(A68="","",A68)</f>
        <v>2269</v>
      </c>
      <c r="H68" t="str">
        <f>_xlfn.CONCAT(D68,SUBSTITUTE(B68,"""","`"""),E68)</f>
        <v>`     Fast transaction</v>
      </c>
      <c r="I68" t="s">
        <v>521</v>
      </c>
      <c r="J68" t="str">
        <f>_xlfn.CONCAT(I68,H68)</f>
        <v>&lt;G2E&gt;&lt;G1P&gt;`     Fast transaction</v>
      </c>
    </row>
    <row r="69" spans="1:10" ht="71.25" x14ac:dyDescent="0.25">
      <c r="A69" s="155" t="s">
        <v>1496</v>
      </c>
      <c r="B69" s="159" t="s">
        <v>1007</v>
      </c>
      <c r="C69" t="s">
        <v>6</v>
      </c>
      <c r="D69" t="s">
        <v>323</v>
      </c>
      <c r="E69" t="s">
        <v>322</v>
      </c>
      <c r="F69" t="s">
        <v>327</v>
      </c>
      <c r="G69" t="str">
        <f>IF(A69="","",A69)</f>
        <v>2225+2238+2244+2245+2246+2251+2252+2263+2266+2267+2268+2279+2289+2292</v>
      </c>
      <c r="H69" t="str">
        <f>_xlfn.CONCAT(D69,SUBSTITUTE(B69,"""","`"""),E69)</f>
        <v>`EASE OF PROCESSING (NET)&lt;Q&gt;</v>
      </c>
      <c r="J69" t="str">
        <f>_xlfn.CONCAT(I69,H69)</f>
        <v>`EASE OF PROCESSING (NET)&lt;Q&gt;</v>
      </c>
    </row>
    <row r="70" spans="1:10" x14ac:dyDescent="0.25">
      <c r="A70" s="155">
        <v>2225</v>
      </c>
      <c r="B70" s="152" t="s">
        <v>1008</v>
      </c>
      <c r="C70" t="s">
        <v>16</v>
      </c>
      <c r="D70" t="s">
        <v>318</v>
      </c>
      <c r="F70" t="s">
        <v>326</v>
      </c>
      <c r="G70">
        <f>IF(A70="","",A70)</f>
        <v>2225</v>
      </c>
      <c r="H70" t="str">
        <f>_xlfn.CONCAT(D70,SUBSTITUTE(B70,"""","`"""),E70)</f>
        <v>`     Easy to process</v>
      </c>
      <c r="I70" t="s">
        <v>520</v>
      </c>
      <c r="J70" t="str">
        <f>_xlfn.CONCAT(I70,H70)</f>
        <v>&lt;G2B&gt;&lt;G1P&gt;`     Easy to process</v>
      </c>
    </row>
    <row r="71" spans="1:10" x14ac:dyDescent="0.25">
      <c r="A71" s="158">
        <v>2238</v>
      </c>
      <c r="B71" s="157" t="s">
        <v>1009</v>
      </c>
      <c r="C71" t="s">
        <v>16</v>
      </c>
      <c r="D71" t="s">
        <v>318</v>
      </c>
      <c r="F71" t="s">
        <v>326</v>
      </c>
      <c r="G71">
        <f>IF(A71="","",A71)</f>
        <v>2238</v>
      </c>
      <c r="H71" t="str">
        <f>_xlfn.CONCAT(D71,SUBSTITUTE(B71,"""","`"""),E71)</f>
        <v>`     Easy to get loan on GCash</v>
      </c>
      <c r="I71" t="s">
        <v>522</v>
      </c>
      <c r="J71" t="str">
        <f>_xlfn.CONCAT(I71,H71)</f>
        <v>&lt;G1P&gt;`     Easy to get loan on GCash</v>
      </c>
    </row>
    <row r="72" spans="1:10" x14ac:dyDescent="0.25">
      <c r="A72" s="158">
        <v>2244</v>
      </c>
      <c r="B72" s="157" t="s">
        <v>1010</v>
      </c>
      <c r="C72" t="s">
        <v>16</v>
      </c>
      <c r="D72" t="s">
        <v>318</v>
      </c>
      <c r="F72" t="s">
        <v>326</v>
      </c>
      <c r="G72">
        <f>IF(A72="","",A72)</f>
        <v>2244</v>
      </c>
      <c r="H72" t="str">
        <f>_xlfn.CONCAT(D72,SUBSTITUTE(B72,"""","`"""),E72)</f>
        <v>`     Easy to get loan</v>
      </c>
      <c r="I72" t="s">
        <v>522</v>
      </c>
      <c r="J72" t="str">
        <f>_xlfn.CONCAT(I72,H72)</f>
        <v>&lt;G1P&gt;`     Easy to get loan</v>
      </c>
    </row>
    <row r="73" spans="1:10" x14ac:dyDescent="0.25">
      <c r="A73" s="158">
        <v>2245</v>
      </c>
      <c r="B73" s="157" t="s">
        <v>1011</v>
      </c>
      <c r="C73" t="s">
        <v>16</v>
      </c>
      <c r="D73" t="s">
        <v>318</v>
      </c>
      <c r="F73" t="s">
        <v>326</v>
      </c>
      <c r="G73">
        <f>IF(A73="","",A73)</f>
        <v>2245</v>
      </c>
      <c r="H73" t="str">
        <f>_xlfn.CONCAT(D73,SUBSTITUTE(B73,"""","`"""),E73)</f>
        <v>`     Easy to save</v>
      </c>
      <c r="I73" t="s">
        <v>522</v>
      </c>
      <c r="J73" t="str">
        <f>_xlfn.CONCAT(I73,H73)</f>
        <v>&lt;G1P&gt;`     Easy to save</v>
      </c>
    </row>
    <row r="74" spans="1:10" x14ac:dyDescent="0.25">
      <c r="A74" s="158">
        <v>2246</v>
      </c>
      <c r="B74" s="157" t="s">
        <v>1012</v>
      </c>
      <c r="C74" t="s">
        <v>16</v>
      </c>
      <c r="D74" t="s">
        <v>318</v>
      </c>
      <c r="F74" t="s">
        <v>326</v>
      </c>
      <c r="G74">
        <f>IF(A74="","",A74)</f>
        <v>2246</v>
      </c>
      <c r="H74" t="str">
        <f>_xlfn.CONCAT(D74,SUBSTITUTE(B74,"""","`"""),E74)</f>
        <v>`     Easy to get loan with GCash on GLoan</v>
      </c>
      <c r="I74" t="s">
        <v>522</v>
      </c>
      <c r="J74" t="str">
        <f>_xlfn.CONCAT(I74,H74)</f>
        <v>&lt;G1P&gt;`     Easy to get loan with GCash on GLoan</v>
      </c>
    </row>
    <row r="75" spans="1:10" x14ac:dyDescent="0.25">
      <c r="A75" s="158">
        <v>2251</v>
      </c>
      <c r="B75" s="157" t="s">
        <v>1013</v>
      </c>
      <c r="C75" t="s">
        <v>16</v>
      </c>
      <c r="D75" t="s">
        <v>318</v>
      </c>
      <c r="F75" t="s">
        <v>326</v>
      </c>
      <c r="G75">
        <f>IF(A75="","",A75)</f>
        <v>2251</v>
      </c>
      <c r="H75" t="str">
        <f>_xlfn.CONCAT(D75,SUBSTITUTE(B75,"""","`"""),E75)</f>
        <v>`     Easy to barrow money using GLoan</v>
      </c>
      <c r="I75" t="s">
        <v>522</v>
      </c>
      <c r="J75" t="str">
        <f>_xlfn.CONCAT(I75,H75)</f>
        <v>&lt;G1P&gt;`     Easy to barrow money using GLoan</v>
      </c>
    </row>
    <row r="76" spans="1:10" x14ac:dyDescent="0.25">
      <c r="A76" s="158">
        <v>2252</v>
      </c>
      <c r="B76" s="157" t="s">
        <v>1014</v>
      </c>
      <c r="C76" t="s">
        <v>16</v>
      </c>
      <c r="D76" t="s">
        <v>318</v>
      </c>
      <c r="F76" t="s">
        <v>326</v>
      </c>
      <c r="G76">
        <f>IF(A76="","",A76)</f>
        <v>2252</v>
      </c>
      <c r="H76" t="str">
        <f>_xlfn.CONCAT(D76,SUBSTITUTE(B76,"""","`"""),E76)</f>
        <v>`     Easy to get loan in GLoan</v>
      </c>
      <c r="I76" t="s">
        <v>522</v>
      </c>
      <c r="J76" t="str">
        <f>_xlfn.CONCAT(I76,H76)</f>
        <v>&lt;G1P&gt;`     Easy to get loan in GLoan</v>
      </c>
    </row>
    <row r="77" spans="1:10" x14ac:dyDescent="0.25">
      <c r="A77" s="161">
        <v>2263</v>
      </c>
      <c r="B77" s="160" t="s">
        <v>1015</v>
      </c>
      <c r="C77" t="s">
        <v>16</v>
      </c>
      <c r="D77" t="s">
        <v>318</v>
      </c>
      <c r="F77" t="s">
        <v>326</v>
      </c>
      <c r="G77">
        <f>IF(A77="","",A77)</f>
        <v>2263</v>
      </c>
      <c r="H77" t="str">
        <f>_xlfn.CONCAT(D77,SUBSTITUTE(B77,"""","`"""),E77)</f>
        <v>`     GLoan is easy to access on GCash</v>
      </c>
      <c r="I77" t="s">
        <v>522</v>
      </c>
      <c r="J77" t="str">
        <f>_xlfn.CONCAT(I77,H77)</f>
        <v>&lt;G1P&gt;`     GLoan is easy to access on GCash</v>
      </c>
    </row>
    <row r="78" spans="1:10" x14ac:dyDescent="0.25">
      <c r="A78" s="161">
        <v>2266</v>
      </c>
      <c r="B78" s="160" t="s">
        <v>494</v>
      </c>
      <c r="C78" t="s">
        <v>16</v>
      </c>
      <c r="D78" t="s">
        <v>318</v>
      </c>
      <c r="F78" t="s">
        <v>326</v>
      </c>
      <c r="G78">
        <f>IF(A78="","",A78)</f>
        <v>2266</v>
      </c>
      <c r="H78" t="str">
        <f>_xlfn.CONCAT(D78,SUBSTITUTE(B78,"""","`"""),E78)</f>
        <v>`     Easy to use</v>
      </c>
      <c r="I78" t="s">
        <v>522</v>
      </c>
      <c r="J78" t="str">
        <f>_xlfn.CONCAT(I78,H78)</f>
        <v>&lt;G1P&gt;`     Easy to use</v>
      </c>
    </row>
    <row r="79" spans="1:10" x14ac:dyDescent="0.25">
      <c r="A79" s="161">
        <v>2267</v>
      </c>
      <c r="B79" s="160" t="s">
        <v>1016</v>
      </c>
      <c r="C79" t="s">
        <v>16</v>
      </c>
      <c r="D79" t="s">
        <v>318</v>
      </c>
      <c r="F79" t="s">
        <v>326</v>
      </c>
      <c r="G79">
        <f>IF(A79="","",A79)</f>
        <v>2267</v>
      </c>
      <c r="H79" t="str">
        <f>_xlfn.CONCAT(D79,SUBSTITUTE(B79,"""","`"""),E79)</f>
        <v>`     Accessible</v>
      </c>
      <c r="I79" t="s">
        <v>522</v>
      </c>
      <c r="J79" t="str">
        <f>_xlfn.CONCAT(I79,H79)</f>
        <v>&lt;G1P&gt;`     Accessible</v>
      </c>
    </row>
    <row r="80" spans="1:10" x14ac:dyDescent="0.25">
      <c r="A80" s="161">
        <v>2268</v>
      </c>
      <c r="B80" s="160" t="s">
        <v>1017</v>
      </c>
      <c r="C80" t="s">
        <v>16</v>
      </c>
      <c r="D80" t="s">
        <v>318</v>
      </c>
      <c r="F80" t="s">
        <v>326</v>
      </c>
      <c r="G80">
        <f>IF(A80="","",A80)</f>
        <v>2268</v>
      </c>
      <c r="H80" t="str">
        <f>_xlfn.CONCAT(D80,SUBSTITUTE(B80,"""","`"""),E80)</f>
        <v>`     Can use anywhere</v>
      </c>
      <c r="I80" t="s">
        <v>522</v>
      </c>
      <c r="J80" t="str">
        <f>_xlfn.CONCAT(I80,H80)</f>
        <v>&lt;G1P&gt;`     Can use anywhere</v>
      </c>
    </row>
    <row r="81" spans="1:10" x14ac:dyDescent="0.25">
      <c r="A81" s="165">
        <v>2279</v>
      </c>
      <c r="B81" s="163" t="s">
        <v>1018</v>
      </c>
      <c r="C81" t="s">
        <v>16</v>
      </c>
      <c r="D81" t="s">
        <v>318</v>
      </c>
      <c r="F81" t="s">
        <v>326</v>
      </c>
      <c r="G81">
        <f>IF(A81="","",A81)</f>
        <v>2279</v>
      </c>
      <c r="H81" t="str">
        <f>_xlfn.CONCAT(D81,SUBSTITUTE(B81,"""","`"""),E81)</f>
        <v>`     Easy payment</v>
      </c>
      <c r="I81" t="s">
        <v>522</v>
      </c>
      <c r="J81" t="str">
        <f>_xlfn.CONCAT(I81,H81)</f>
        <v>&lt;G1P&gt;`     Easy payment</v>
      </c>
    </row>
    <row r="82" spans="1:10" x14ac:dyDescent="0.25">
      <c r="A82" s="165">
        <v>2289</v>
      </c>
      <c r="B82" s="163" t="s">
        <v>1019</v>
      </c>
      <c r="C82" t="s">
        <v>16</v>
      </c>
      <c r="D82" t="s">
        <v>318</v>
      </c>
      <c r="F82" t="s">
        <v>326</v>
      </c>
      <c r="G82">
        <f>IF(A82="","",A82)</f>
        <v>2289</v>
      </c>
      <c r="H82" t="str">
        <f>_xlfn.CONCAT(D82,SUBSTITUTE(B82,"""","`"""),E82)</f>
        <v>`     More convenient to use</v>
      </c>
      <c r="I82" t="s">
        <v>522</v>
      </c>
      <c r="J82" t="str">
        <f>_xlfn.CONCAT(I82,H82)</f>
        <v>&lt;G1P&gt;`     More convenient to use</v>
      </c>
    </row>
    <row r="83" spans="1:10" x14ac:dyDescent="0.25">
      <c r="A83" s="165">
        <v>2292</v>
      </c>
      <c r="B83" s="163" t="s">
        <v>992</v>
      </c>
      <c r="C83" t="s">
        <v>16</v>
      </c>
      <c r="D83" t="s">
        <v>318</v>
      </c>
      <c r="F83" t="s">
        <v>326</v>
      </c>
      <c r="G83">
        <f>IF(A83="","",A83)</f>
        <v>2292</v>
      </c>
      <c r="H83" t="str">
        <f>_xlfn.CONCAT(D83,SUBSTITUTE(B83,"""","`"""),E83)</f>
        <v>`     Gloan is easy to use</v>
      </c>
      <c r="I83" t="s">
        <v>521</v>
      </c>
      <c r="J83" t="str">
        <f>_xlfn.CONCAT(I83,H83)</f>
        <v>&lt;G2E&gt;&lt;G1P&gt;`     Gloan is easy to use</v>
      </c>
    </row>
    <row r="84" spans="1:10" ht="15.75" x14ac:dyDescent="0.25">
      <c r="A84" s="155">
        <v>2291</v>
      </c>
      <c r="B84" s="159" t="s">
        <v>415</v>
      </c>
      <c r="C84" t="s">
        <v>6</v>
      </c>
      <c r="D84" t="s">
        <v>323</v>
      </c>
      <c r="E84" t="s">
        <v>322</v>
      </c>
      <c r="F84" t="s">
        <v>327</v>
      </c>
      <c r="G84">
        <f>IF(A84="","",A84)</f>
        <v>2291</v>
      </c>
      <c r="H84" t="str">
        <f>_xlfn.CONCAT(D84,SUBSTITUTE(B84,"""","`"""),E84)</f>
        <v>`SAFETY AND SECURITY (NET)&lt;Q&gt;</v>
      </c>
      <c r="J84" t="str">
        <f>_xlfn.CONCAT(I84,H84)</f>
        <v>`SAFETY AND SECURITY (NET)&lt;Q&gt;</v>
      </c>
    </row>
    <row r="85" spans="1:10" x14ac:dyDescent="0.25">
      <c r="A85" s="165">
        <v>2291</v>
      </c>
      <c r="B85" s="163" t="s">
        <v>1020</v>
      </c>
      <c r="C85" t="s">
        <v>16</v>
      </c>
      <c r="D85" t="s">
        <v>318</v>
      </c>
      <c r="F85" t="s">
        <v>326</v>
      </c>
      <c r="G85">
        <f>IF(A85="","",A85)</f>
        <v>2291</v>
      </c>
      <c r="H85" t="str">
        <f>_xlfn.CONCAT(D85,SUBSTITUTE(B85,"""","`"""),E85)</f>
        <v>`     Safe</v>
      </c>
      <c r="I85" t="s">
        <v>522</v>
      </c>
      <c r="J85" t="str">
        <f>_xlfn.CONCAT(I85,H85)</f>
        <v>&lt;G1P&gt;`     Safe</v>
      </c>
    </row>
    <row r="86" spans="1:10" ht="15.75" x14ac:dyDescent="0.25">
      <c r="A86" s="155" t="s">
        <v>1056</v>
      </c>
      <c r="B86" s="159" t="s">
        <v>1021</v>
      </c>
      <c r="C86" t="s">
        <v>6</v>
      </c>
      <c r="D86" t="s">
        <v>323</v>
      </c>
      <c r="E86" t="s">
        <v>322</v>
      </c>
      <c r="F86" t="s">
        <v>327</v>
      </c>
      <c r="G86" t="str">
        <f>IF(A86="","",A86)</f>
        <v>2226+2247</v>
      </c>
      <c r="H86" t="str">
        <f>_xlfn.CONCAT(D86,SUBSTITUTE(B86,"""","`"""),E86)</f>
        <v>`CAN LOAN ANYTIME (NET)&lt;Q&gt;</v>
      </c>
      <c r="J86" t="str">
        <f>_xlfn.CONCAT(I86,H86)</f>
        <v>`CAN LOAN ANYTIME (NET)&lt;Q&gt;</v>
      </c>
    </row>
    <row r="87" spans="1:10" x14ac:dyDescent="0.25">
      <c r="A87" s="155">
        <v>2226</v>
      </c>
      <c r="B87" s="152" t="s">
        <v>1022</v>
      </c>
      <c r="C87" t="s">
        <v>16</v>
      </c>
      <c r="D87" t="s">
        <v>318</v>
      </c>
      <c r="F87" t="s">
        <v>326</v>
      </c>
      <c r="G87">
        <f>IF(A87="","",A87)</f>
        <v>2226</v>
      </c>
      <c r="H87" t="str">
        <f>_xlfn.CONCAT(D87,SUBSTITUTE(B87,"""","`"""),E87)</f>
        <v>`     Can loan anytime</v>
      </c>
      <c r="I87" t="s">
        <v>520</v>
      </c>
      <c r="J87" t="str">
        <f>_xlfn.CONCAT(I87,H87)</f>
        <v>&lt;G2B&gt;&lt;G1P&gt;`     Can loan anytime</v>
      </c>
    </row>
    <row r="88" spans="1:10" x14ac:dyDescent="0.25">
      <c r="A88" s="158">
        <v>2247</v>
      </c>
      <c r="B88" s="157" t="s">
        <v>1023</v>
      </c>
      <c r="C88" t="s">
        <v>16</v>
      </c>
      <c r="D88" t="s">
        <v>318</v>
      </c>
      <c r="F88" t="s">
        <v>326</v>
      </c>
      <c r="G88">
        <f>IF(A88="","",A88)</f>
        <v>2247</v>
      </c>
      <c r="H88" t="str">
        <f>_xlfn.CONCAT(D88,SUBSTITUTE(B88,"""","`"""),E88)</f>
        <v>`     Can get loan if needed</v>
      </c>
      <c r="I88" t="s">
        <v>521</v>
      </c>
      <c r="J88" t="str">
        <f>_xlfn.CONCAT(I88,H88)</f>
        <v>&lt;G2E&gt;&lt;G1P&gt;`     Can get loan if needed</v>
      </c>
    </row>
    <row r="89" spans="1:10" ht="15.75" x14ac:dyDescent="0.25">
      <c r="A89" s="155">
        <v>2227</v>
      </c>
      <c r="B89" s="159" t="s">
        <v>1024</v>
      </c>
      <c r="C89" t="s">
        <v>6</v>
      </c>
      <c r="D89" t="s">
        <v>323</v>
      </c>
      <c r="E89" t="s">
        <v>322</v>
      </c>
      <c r="F89" t="s">
        <v>327</v>
      </c>
      <c r="G89">
        <f>IF(A89="","",A89)</f>
        <v>2227</v>
      </c>
      <c r="H89" t="str">
        <f>_xlfn.CONCAT(D89,SUBSTITUTE(B89,"""","`"""),E89)</f>
        <v>`DOCUMENTARY REQUIREMENTS (NET)&lt;Q&gt;</v>
      </c>
      <c r="J89" t="str">
        <f>_xlfn.CONCAT(I89,H89)</f>
        <v>`DOCUMENTARY REQUIREMENTS (NET)&lt;Q&gt;</v>
      </c>
    </row>
    <row r="90" spans="1:10" x14ac:dyDescent="0.25">
      <c r="A90" s="155">
        <v>2227</v>
      </c>
      <c r="B90" s="152" t="s">
        <v>1025</v>
      </c>
      <c r="C90" t="s">
        <v>16</v>
      </c>
      <c r="D90" t="s">
        <v>318</v>
      </c>
      <c r="F90" t="s">
        <v>326</v>
      </c>
      <c r="G90">
        <f>IF(A90="","",A90)</f>
        <v>2227</v>
      </c>
      <c r="H90" t="str">
        <f>_xlfn.CONCAT(D90,SUBSTITUTE(B90,"""","`"""),E90)</f>
        <v>`     No need for ID or documents</v>
      </c>
      <c r="I90" t="s">
        <v>522</v>
      </c>
      <c r="J90" t="str">
        <f>_xlfn.CONCAT(I90,H90)</f>
        <v>&lt;G1P&gt;`     No need for ID or documents</v>
      </c>
    </row>
    <row r="91" spans="1:10" ht="15.75" x14ac:dyDescent="0.25">
      <c r="A91" s="155" t="s">
        <v>1057</v>
      </c>
      <c r="B91" s="159" t="s">
        <v>1026</v>
      </c>
      <c r="C91" t="s">
        <v>6</v>
      </c>
      <c r="D91" t="s">
        <v>323</v>
      </c>
      <c r="E91" t="s">
        <v>322</v>
      </c>
      <c r="F91" t="s">
        <v>327</v>
      </c>
      <c r="G91" t="str">
        <f>IF(A91="","",A91)</f>
        <v>2228+2236</v>
      </c>
      <c r="H91" t="str">
        <f>_xlfn.CONCAT(D91,SUBSTITUTE(B91,"""","`"""),E91)</f>
        <v>`ABOUT LOAN (NET)&lt;Q&gt;</v>
      </c>
      <c r="J91" t="str">
        <f>_xlfn.CONCAT(I91,H91)</f>
        <v>`ABOUT LOAN (NET)&lt;Q&gt;</v>
      </c>
    </row>
    <row r="92" spans="1:10" x14ac:dyDescent="0.25">
      <c r="A92" s="155">
        <v>2228</v>
      </c>
      <c r="B92" s="152" t="s">
        <v>1027</v>
      </c>
      <c r="C92" t="s">
        <v>16</v>
      </c>
      <c r="D92" t="s">
        <v>318</v>
      </c>
      <c r="F92" t="s">
        <v>326</v>
      </c>
      <c r="G92">
        <f>IF(A92="","",A92)</f>
        <v>2228</v>
      </c>
      <c r="H92" t="str">
        <f>_xlfn.CONCAT(D92,SUBSTITUTE(B92,"""","`"""),E92)</f>
        <v>`     About loan</v>
      </c>
      <c r="I92" t="s">
        <v>520</v>
      </c>
      <c r="J92" t="str">
        <f>_xlfn.CONCAT(I92,H92)</f>
        <v>&lt;G2B&gt;&lt;G1P&gt;`     About loan</v>
      </c>
    </row>
    <row r="93" spans="1:10" x14ac:dyDescent="0.25">
      <c r="A93" s="158">
        <v>2236</v>
      </c>
      <c r="B93" s="157" t="s">
        <v>1028</v>
      </c>
      <c r="C93" t="s">
        <v>16</v>
      </c>
      <c r="D93" t="s">
        <v>318</v>
      </c>
      <c r="F93" t="s">
        <v>326</v>
      </c>
      <c r="G93">
        <f>IF(A93="","",A93)</f>
        <v>2236</v>
      </c>
      <c r="H93" t="str">
        <f>_xlfn.CONCAT(D93,SUBSTITUTE(B93,"""","`"""),E93)</f>
        <v>`     Can get loan</v>
      </c>
      <c r="I93" t="s">
        <v>521</v>
      </c>
      <c r="J93" t="str">
        <f>_xlfn.CONCAT(I93,H93)</f>
        <v>&lt;G2E&gt;&lt;G1P&gt;`     Can get loan</v>
      </c>
    </row>
    <row r="94" spans="1:10" ht="28.5" x14ac:dyDescent="0.25">
      <c r="A94" s="155" t="s">
        <v>1058</v>
      </c>
      <c r="B94" s="159" t="s">
        <v>1029</v>
      </c>
      <c r="C94" t="s">
        <v>6</v>
      </c>
      <c r="D94" t="s">
        <v>323</v>
      </c>
      <c r="E94" t="s">
        <v>322</v>
      </c>
      <c r="F94" t="s">
        <v>327</v>
      </c>
      <c r="G94" t="str">
        <f>IF(A94="","",A94)</f>
        <v>2229+2258+2259+2260</v>
      </c>
      <c r="H94" t="str">
        <f>_xlfn.CONCAT(D94,SUBSTITUTE(B94,"""","`"""),E94)</f>
        <v>`CAN LOAN `"SABAY SABAY`" (NET)&lt;Q&gt;</v>
      </c>
      <c r="J94" t="str">
        <f>_xlfn.CONCAT(I94,H94)</f>
        <v>`CAN LOAN `"SABAY SABAY`" (NET)&lt;Q&gt;</v>
      </c>
    </row>
    <row r="95" spans="1:10" x14ac:dyDescent="0.25">
      <c r="A95" s="155">
        <v>2229</v>
      </c>
      <c r="B95" s="152" t="s">
        <v>1030</v>
      </c>
      <c r="C95" t="s">
        <v>16</v>
      </c>
      <c r="D95" t="s">
        <v>318</v>
      </c>
      <c r="F95" t="s">
        <v>326</v>
      </c>
      <c r="G95">
        <f>IF(A95="","",A95)</f>
        <v>2229</v>
      </c>
      <c r="H95" t="str">
        <f>_xlfn.CONCAT(D95,SUBSTITUTE(B95,"""","`"""),E95)</f>
        <v>`     Can loan from GCash `"sabay sabay`"</v>
      </c>
      <c r="I95" t="s">
        <v>520</v>
      </c>
      <c r="J95" t="str">
        <f>_xlfn.CONCAT(I95,H95)</f>
        <v>&lt;G2B&gt;&lt;G1P&gt;`     Can loan from GCash `"sabay sabay`"</v>
      </c>
    </row>
    <row r="96" spans="1:10" x14ac:dyDescent="0.25">
      <c r="A96" s="158">
        <v>2258</v>
      </c>
      <c r="B96" s="157" t="s">
        <v>1031</v>
      </c>
      <c r="C96" t="s">
        <v>16</v>
      </c>
      <c r="D96" t="s">
        <v>318</v>
      </c>
      <c r="F96" t="s">
        <v>326</v>
      </c>
      <c r="G96">
        <f>IF(A96="","",A96)</f>
        <v>2258</v>
      </c>
      <c r="H96" t="str">
        <f>_xlfn.CONCAT(D96,SUBSTITUTE(B96,"""","`"""),E96)</f>
        <v>`     `"Sabay sabay`" all expenses Gcash Gloan can handle it</v>
      </c>
      <c r="I96" t="s">
        <v>522</v>
      </c>
      <c r="J96" t="str">
        <f>_xlfn.CONCAT(I96,H96)</f>
        <v>&lt;G1P&gt;`     `"Sabay sabay`" all expenses Gcash Gloan can handle it</v>
      </c>
    </row>
    <row r="97" spans="1:10" x14ac:dyDescent="0.25">
      <c r="A97" s="158">
        <v>2259</v>
      </c>
      <c r="B97" s="181" t="s">
        <v>1032</v>
      </c>
      <c r="C97" t="s">
        <v>16</v>
      </c>
      <c r="D97" t="s">
        <v>318</v>
      </c>
      <c r="F97" t="s">
        <v>326</v>
      </c>
      <c r="G97">
        <f>IF(A97="","",A97)</f>
        <v>2259</v>
      </c>
      <c r="H97" t="str">
        <f>_xlfn.CONCAT(D97,SUBSTITUTE(B97,"""","`"""),E97)</f>
        <v>`     Expenses are coming `"Sabay sabay`"</v>
      </c>
      <c r="I97" t="s">
        <v>522</v>
      </c>
      <c r="J97" t="str">
        <f>_xlfn.CONCAT(I97,H97)</f>
        <v>&lt;G1P&gt;`     Expenses are coming `"Sabay sabay`"</v>
      </c>
    </row>
    <row r="98" spans="1:10" x14ac:dyDescent="0.25">
      <c r="A98" s="158">
        <v>2260</v>
      </c>
      <c r="B98" s="157" t="s">
        <v>1033</v>
      </c>
      <c r="C98" t="s">
        <v>16</v>
      </c>
      <c r="D98" t="s">
        <v>318</v>
      </c>
      <c r="F98" t="s">
        <v>326</v>
      </c>
      <c r="G98">
        <f>IF(A98="","",A98)</f>
        <v>2260</v>
      </c>
      <c r="H98" t="str">
        <f>_xlfn.CONCAT(D98,SUBSTITUTE(B98,"""","`"""),E98)</f>
        <v>`     `"Sabay sabay`" but it can be paid immediately</v>
      </c>
      <c r="I98" t="s">
        <v>521</v>
      </c>
      <c r="J98" t="str">
        <f>_xlfn.CONCAT(I98,H98)</f>
        <v>&lt;G2E&gt;&lt;G1P&gt;`     `"Sabay sabay`" but it can be paid immediately</v>
      </c>
    </row>
    <row r="99" spans="1:10" ht="15.75" x14ac:dyDescent="0.25">
      <c r="A99" s="155" t="s">
        <v>1497</v>
      </c>
      <c r="B99" s="159" t="s">
        <v>1491</v>
      </c>
      <c r="C99" t="s">
        <v>6</v>
      </c>
      <c r="D99" t="s">
        <v>323</v>
      </c>
      <c r="E99" t="s">
        <v>322</v>
      </c>
      <c r="F99" t="s">
        <v>327</v>
      </c>
      <c r="G99" t="str">
        <f>IF(A99="","",A99)</f>
        <v>2262+2264</v>
      </c>
      <c r="H99" t="str">
        <f>_xlfn.CONCAT(D99,SUBSTITUTE(B99,"""","`"""),E99)</f>
        <v>`MENTIONS OF GCASH(NET)&lt;Q&gt;</v>
      </c>
      <c r="I99" t="s">
        <v>519</v>
      </c>
      <c r="J99" t="str">
        <f>_xlfn.CONCAT(I99,H99)</f>
        <v>&lt;G1E&gt;`MENTIONS OF GCASH(NET)&lt;Q&gt;</v>
      </c>
    </row>
    <row r="100" spans="1:10" x14ac:dyDescent="0.25">
      <c r="A100" s="161">
        <v>2262</v>
      </c>
      <c r="B100" s="160" t="s">
        <v>641</v>
      </c>
      <c r="C100" t="s">
        <v>16</v>
      </c>
      <c r="D100" t="s">
        <v>318</v>
      </c>
      <c r="F100" t="s">
        <v>326</v>
      </c>
      <c r="G100">
        <f>IF(A100="","",A100)</f>
        <v>2262</v>
      </c>
      <c r="H100" t="str">
        <f>_xlfn.CONCAT(D100,SUBSTITUTE(B100,"""","`"""),E100)</f>
        <v>`     GCash</v>
      </c>
      <c r="I100" t="s">
        <v>520</v>
      </c>
      <c r="J100" t="str">
        <f>_xlfn.CONCAT(I100,H100)</f>
        <v>&lt;G2B&gt;&lt;G1P&gt;`     GCash</v>
      </c>
    </row>
    <row r="101" spans="1:10" x14ac:dyDescent="0.25">
      <c r="A101" s="161">
        <v>2264</v>
      </c>
      <c r="B101" s="160" t="s">
        <v>1038</v>
      </c>
      <c r="C101" t="s">
        <v>16</v>
      </c>
      <c r="D101" t="s">
        <v>318</v>
      </c>
      <c r="F101" t="s">
        <v>326</v>
      </c>
      <c r="G101">
        <f>IF(A101="","",A101)</f>
        <v>2264</v>
      </c>
      <c r="H101" t="str">
        <f>_xlfn.CONCAT(D101,SUBSTITUTE(B101,"""","`"""),E101)</f>
        <v>`     GCash to the rescue</v>
      </c>
      <c r="I101" t="s">
        <v>521</v>
      </c>
      <c r="J101" t="str">
        <f>_xlfn.CONCAT(I101,H101)</f>
        <v>&lt;G2E&gt;&lt;G1P&gt;`     GCash to the rescue</v>
      </c>
    </row>
    <row r="102" spans="1:10" ht="42.75" x14ac:dyDescent="0.25">
      <c r="A102" s="155" t="s">
        <v>1498</v>
      </c>
      <c r="B102" s="159" t="s">
        <v>332</v>
      </c>
      <c r="C102" t="s">
        <v>6</v>
      </c>
      <c r="D102" t="s">
        <v>323</v>
      </c>
      <c r="E102" t="s">
        <v>322</v>
      </c>
      <c r="F102" t="s">
        <v>327</v>
      </c>
      <c r="G102" t="str">
        <f>IF(A102="","",A102)</f>
        <v>2233+2242+2249+2261+2271+2284+2287+2288</v>
      </c>
      <c r="H102" t="str">
        <f>_xlfn.CONCAT(D102,SUBSTITUTE(B102,"""","`"""),E102)</f>
        <v>`OTHERS (NET)&lt;Q&gt;</v>
      </c>
      <c r="J102" t="str">
        <f>_xlfn.CONCAT(I102,H102)</f>
        <v>`OTHERS (NET)&lt;Q&gt;</v>
      </c>
    </row>
    <row r="103" spans="1:10" x14ac:dyDescent="0.25">
      <c r="A103" s="155">
        <v>2233</v>
      </c>
      <c r="B103" s="152" t="s">
        <v>1034</v>
      </c>
      <c r="C103" t="s">
        <v>16</v>
      </c>
      <c r="D103" t="s">
        <v>318</v>
      </c>
      <c r="F103" t="s">
        <v>326</v>
      </c>
      <c r="G103">
        <f>IF(A103="","",A103)</f>
        <v>2233</v>
      </c>
      <c r="H103" t="str">
        <f>_xlfn.CONCAT(D103,SUBSTITUTE(B103,"""","`"""),E103)</f>
        <v>`     GLoan for Protection</v>
      </c>
      <c r="I103" t="s">
        <v>520</v>
      </c>
      <c r="J103" t="str">
        <f>_xlfn.CONCAT(I103,H103)</f>
        <v>&lt;G2B&gt;&lt;G1P&gt;`     GLoan for Protection</v>
      </c>
    </row>
    <row r="104" spans="1:10" x14ac:dyDescent="0.25">
      <c r="A104" s="158">
        <v>2242</v>
      </c>
      <c r="B104" s="157" t="s">
        <v>1035</v>
      </c>
      <c r="C104" t="s">
        <v>16</v>
      </c>
      <c r="D104" t="s">
        <v>318</v>
      </c>
      <c r="F104" t="s">
        <v>326</v>
      </c>
      <c r="G104">
        <f>IF(A104="","",A104)</f>
        <v>2242</v>
      </c>
      <c r="H104" t="str">
        <f>_xlfn.CONCAT(D104,SUBSTITUTE(B104,"""","`"""),E104)</f>
        <v>`     It seems that the mother having problems</v>
      </c>
      <c r="I104" t="s">
        <v>522</v>
      </c>
      <c r="J104" t="str">
        <f>_xlfn.CONCAT(I104,H104)</f>
        <v>&lt;G1P&gt;`     It seems that the mother having problems</v>
      </c>
    </row>
    <row r="105" spans="1:10" x14ac:dyDescent="0.25">
      <c r="A105" s="158">
        <v>2249</v>
      </c>
      <c r="B105" s="157" t="s">
        <v>1036</v>
      </c>
      <c r="C105" t="s">
        <v>16</v>
      </c>
      <c r="D105" t="s">
        <v>318</v>
      </c>
      <c r="F105" t="s">
        <v>326</v>
      </c>
      <c r="G105">
        <f>IF(A105="","",A105)</f>
        <v>2249</v>
      </c>
      <c r="H105" t="str">
        <f>_xlfn.CONCAT(D105,SUBSTITUTE(B105,"""","`"""),E105)</f>
        <v>`     Can help in everything</v>
      </c>
      <c r="I105" t="s">
        <v>522</v>
      </c>
      <c r="J105" t="str">
        <f>_xlfn.CONCAT(I105,H105)</f>
        <v>&lt;G1P&gt;`     Can help in everything</v>
      </c>
    </row>
    <row r="106" spans="1:10" x14ac:dyDescent="0.25">
      <c r="A106" s="158">
        <v>2261</v>
      </c>
      <c r="B106" s="157" t="s">
        <v>1037</v>
      </c>
      <c r="C106" t="s">
        <v>16</v>
      </c>
      <c r="D106" t="s">
        <v>318</v>
      </c>
      <c r="F106" t="s">
        <v>326</v>
      </c>
      <c r="G106">
        <f>IF(A106="","",A106)</f>
        <v>2261</v>
      </c>
      <c r="H106" t="str">
        <f>_xlfn.CONCAT(D106,SUBSTITUTE(B106,"""","`"""),E106)</f>
        <v>`     About funds</v>
      </c>
      <c r="I106" t="s">
        <v>522</v>
      </c>
      <c r="J106" t="str">
        <f>_xlfn.CONCAT(I106,H106)</f>
        <v>&lt;G1P&gt;`     About funds</v>
      </c>
    </row>
    <row r="107" spans="1:10" x14ac:dyDescent="0.25">
      <c r="A107" s="161">
        <v>2271</v>
      </c>
      <c r="B107" s="160" t="s">
        <v>671</v>
      </c>
      <c r="C107" t="s">
        <v>16</v>
      </c>
      <c r="D107" t="s">
        <v>318</v>
      </c>
      <c r="F107" t="s">
        <v>326</v>
      </c>
      <c r="G107">
        <f>IF(A107="","",A107)</f>
        <v>2271</v>
      </c>
      <c r="H107" t="str">
        <f>_xlfn.CONCAT(D107,SUBSTITUTE(B107,"""","`"""),E107)</f>
        <v>`     Happy family</v>
      </c>
      <c r="I107" t="s">
        <v>522</v>
      </c>
      <c r="J107" t="str">
        <f>_xlfn.CONCAT(I107,H107)</f>
        <v>&lt;G1P&gt;`     Happy family</v>
      </c>
    </row>
    <row r="108" spans="1:10" x14ac:dyDescent="0.25">
      <c r="A108" s="165">
        <v>2284</v>
      </c>
      <c r="B108" s="163" t="s">
        <v>1043</v>
      </c>
      <c r="C108" t="s">
        <v>16</v>
      </c>
      <c r="D108" t="s">
        <v>318</v>
      </c>
      <c r="F108" t="s">
        <v>326</v>
      </c>
      <c r="G108">
        <f>IF(A108="","",A108)</f>
        <v>2284</v>
      </c>
      <c r="H108" t="str">
        <f>_xlfn.CONCAT(D108,SUBSTITUTE(B108,"""","`"""),E108)</f>
        <v>`     GCash can make your life better</v>
      </c>
      <c r="I108" t="s">
        <v>522</v>
      </c>
      <c r="J108" t="str">
        <f>_xlfn.CONCAT(I108,H108)</f>
        <v>&lt;G1P&gt;`     GCash can make your life better</v>
      </c>
    </row>
    <row r="109" spans="1:10" x14ac:dyDescent="0.25">
      <c r="A109" s="165">
        <v>2287</v>
      </c>
      <c r="B109" s="163" t="s">
        <v>1045</v>
      </c>
      <c r="C109" t="s">
        <v>16</v>
      </c>
      <c r="D109" t="s">
        <v>318</v>
      </c>
      <c r="F109" t="s">
        <v>326</v>
      </c>
      <c r="G109">
        <f>IF(A109="","",A109)</f>
        <v>2287</v>
      </c>
      <c r="H109" t="str">
        <f>_xlfn.CONCAT(D109,SUBSTITUTE(B109,"""","`"""),E109)</f>
        <v>`     GCash is good</v>
      </c>
      <c r="I109" t="s">
        <v>522</v>
      </c>
      <c r="J109" t="str">
        <f>_xlfn.CONCAT(I109,H109)</f>
        <v>&lt;G1P&gt;`     GCash is good</v>
      </c>
    </row>
    <row r="110" spans="1:10" x14ac:dyDescent="0.25">
      <c r="A110" s="165">
        <v>2288</v>
      </c>
      <c r="B110" s="163" t="s">
        <v>1046</v>
      </c>
      <c r="C110" t="s">
        <v>16</v>
      </c>
      <c r="D110" t="s">
        <v>318</v>
      </c>
      <c r="F110" t="s">
        <v>326</v>
      </c>
      <c r="G110">
        <f>IF(A110="","",A110)</f>
        <v>2288</v>
      </c>
      <c r="H110" t="str">
        <f>_xlfn.CONCAT(D110,SUBSTITUTE(B110,"""","`"""),E110)</f>
        <v>`     Be alert in everything</v>
      </c>
      <c r="I110" t="s">
        <v>521</v>
      </c>
      <c r="J110" t="str">
        <f>_xlfn.CONCAT(I110,H110)</f>
        <v>&lt;G2E&gt;&lt;G1P&gt;`     Be alert in everything</v>
      </c>
    </row>
    <row r="111" spans="1:10" ht="28.5" x14ac:dyDescent="0.25">
      <c r="A111" s="155" t="s">
        <v>1499</v>
      </c>
      <c r="B111" s="159" t="s">
        <v>331</v>
      </c>
      <c r="C111" t="s">
        <v>6</v>
      </c>
      <c r="D111" t="s">
        <v>323</v>
      </c>
      <c r="E111" t="s">
        <v>322</v>
      </c>
      <c r="F111" t="s">
        <v>327</v>
      </c>
      <c r="G111" t="str">
        <f>IF(A111="","",A111)</f>
        <v>2501+2502+2503+2504+2505+2286</v>
      </c>
      <c r="H111" t="str">
        <f>_xlfn.CONCAT(D111,SUBSTITUTE(B111,"""","`"""),E111)</f>
        <v>`VAGUE (NET)&lt;Q&gt;</v>
      </c>
      <c r="J111" t="str">
        <f>_xlfn.CONCAT(I111,H111)</f>
        <v>`VAGUE (NET)&lt;Q&gt;</v>
      </c>
    </row>
    <row r="112" spans="1:10" x14ac:dyDescent="0.25">
      <c r="A112" s="158">
        <v>2501</v>
      </c>
      <c r="B112" s="157" t="s">
        <v>1048</v>
      </c>
      <c r="C112" t="s">
        <v>16</v>
      </c>
      <c r="D112" t="s">
        <v>318</v>
      </c>
      <c r="F112" t="s">
        <v>326</v>
      </c>
      <c r="G112">
        <f>IF(A112="","",A112)</f>
        <v>2501</v>
      </c>
      <c r="H112" t="str">
        <f>_xlfn.CONCAT(D112,SUBSTITUTE(B112,"""","`"""),E112)</f>
        <v>`     Good</v>
      </c>
      <c r="I112" t="s">
        <v>520</v>
      </c>
      <c r="J112" t="str">
        <f>_xlfn.CONCAT(I112,H112)</f>
        <v>&lt;G2B&gt;&lt;G1P&gt;`     Good</v>
      </c>
    </row>
    <row r="113" spans="1:10" x14ac:dyDescent="0.25">
      <c r="A113" s="158">
        <v>2502</v>
      </c>
      <c r="B113" s="157" t="s">
        <v>1049</v>
      </c>
      <c r="C113" t="s">
        <v>16</v>
      </c>
      <c r="D113" t="s">
        <v>318</v>
      </c>
      <c r="F113" t="s">
        <v>326</v>
      </c>
      <c r="G113">
        <f>IF(A113="","",A113)</f>
        <v>2502</v>
      </c>
      <c r="H113" t="str">
        <f>_xlfn.CONCAT(D113,SUBSTITUTE(B113,"""","`"""),E113)</f>
        <v>`     It's nice</v>
      </c>
      <c r="I113" t="s">
        <v>522</v>
      </c>
      <c r="J113" t="str">
        <f>_xlfn.CONCAT(I113,H113)</f>
        <v>&lt;G1P&gt;`     It's nice</v>
      </c>
    </row>
    <row r="114" spans="1:10" x14ac:dyDescent="0.25">
      <c r="A114" s="158">
        <v>2503</v>
      </c>
      <c r="B114" s="157" t="s">
        <v>784</v>
      </c>
      <c r="C114" t="s">
        <v>16</v>
      </c>
      <c r="D114" t="s">
        <v>318</v>
      </c>
      <c r="F114" t="s">
        <v>326</v>
      </c>
      <c r="G114">
        <f>IF(A114="","",A114)</f>
        <v>2503</v>
      </c>
      <c r="H114" t="str">
        <f>_xlfn.CONCAT(D114,SUBSTITUTE(B114,"""","`"""),E114)</f>
        <v>`     It's okay</v>
      </c>
      <c r="I114" t="s">
        <v>522</v>
      </c>
      <c r="J114" t="str">
        <f>_xlfn.CONCAT(I114,H114)</f>
        <v>&lt;G1P&gt;`     It's okay</v>
      </c>
    </row>
    <row r="115" spans="1:10" x14ac:dyDescent="0.25">
      <c r="A115" s="158">
        <v>2504</v>
      </c>
      <c r="B115" s="157" t="s">
        <v>1050</v>
      </c>
      <c r="C115" t="s">
        <v>16</v>
      </c>
      <c r="D115" t="s">
        <v>318</v>
      </c>
      <c r="F115" t="s">
        <v>326</v>
      </c>
      <c r="G115">
        <f>IF(A115="","",A115)</f>
        <v>2504</v>
      </c>
      <c r="H115" t="str">
        <f>_xlfn.CONCAT(D115,SUBSTITUTE(B115,"""","`"""),E115)</f>
        <v>`     Can loan up to 100%</v>
      </c>
      <c r="I115" t="s">
        <v>522</v>
      </c>
      <c r="J115" t="str">
        <f>_xlfn.CONCAT(I115,H115)</f>
        <v>&lt;G1P&gt;`     Can loan up to 100%</v>
      </c>
    </row>
    <row r="116" spans="1:10" x14ac:dyDescent="0.25">
      <c r="A116" s="158">
        <v>2505</v>
      </c>
      <c r="B116" s="157" t="s">
        <v>777</v>
      </c>
      <c r="C116" t="s">
        <v>16</v>
      </c>
      <c r="D116" t="s">
        <v>318</v>
      </c>
      <c r="F116" t="s">
        <v>326</v>
      </c>
      <c r="G116">
        <f>IF(A116="","",A116)</f>
        <v>2505</v>
      </c>
      <c r="H116" t="str">
        <f>_xlfn.CONCAT(D116,SUBSTITUTE(B116,"""","`"""),E116)</f>
        <v>`     This is awesome</v>
      </c>
      <c r="I116" t="s">
        <v>522</v>
      </c>
      <c r="J116" t="str">
        <f>_xlfn.CONCAT(I116,H116)</f>
        <v>&lt;G1P&gt;`     This is awesome</v>
      </c>
    </row>
    <row r="117" spans="1:10" ht="28.5" x14ac:dyDescent="0.25">
      <c r="A117" s="165">
        <v>2286</v>
      </c>
      <c r="B117" s="163" t="s">
        <v>1044</v>
      </c>
      <c r="C117" t="s">
        <v>16</v>
      </c>
      <c r="D117" t="s">
        <v>318</v>
      </c>
      <c r="F117" t="s">
        <v>326</v>
      </c>
      <c r="G117">
        <f>IF(A117="","",A117)</f>
        <v>2286</v>
      </c>
      <c r="H117" t="str">
        <f>_xlfn.CONCAT(D117,SUBSTITUTE(B117,"""","`"""),E117)</f>
        <v>`     Download GCash app to make it easier to give money</v>
      </c>
      <c r="I117" t="s">
        <v>521</v>
      </c>
      <c r="J117" t="str">
        <f>_xlfn.CONCAT(I117,H117)</f>
        <v>&lt;G2E&gt;&lt;G1P&gt;`     Download GCash app to make it easier to give money</v>
      </c>
    </row>
    <row r="118" spans="1:10" x14ac:dyDescent="0.25">
      <c r="A118" s="158">
        <v>9994</v>
      </c>
      <c r="B118" s="157" t="s">
        <v>796</v>
      </c>
      <c r="G118">
        <f>IF(A118="","",A118)</f>
        <v>9994</v>
      </c>
      <c r="H118" t="str">
        <f>_xlfn.CONCAT(D118,SUBSTITUTE(B118,"""","`"""),E118)</f>
        <v>No comment</v>
      </c>
      <c r="J118" t="str">
        <f>_xlfn.CONCAT(I118,H118)</f>
        <v>No comment</v>
      </c>
    </row>
    <row r="119" spans="1:10" x14ac:dyDescent="0.25">
      <c r="A119" s="158" t="s">
        <v>932</v>
      </c>
      <c r="B119" s="157" t="s">
        <v>302</v>
      </c>
      <c r="G119" t="str">
        <f>IF(A119="","",A119)</f>
        <v>9996+9995</v>
      </c>
      <c r="H119" t="str">
        <f>_xlfn.CONCAT(D119,SUBSTITUTE(B119,"""","`"""),E119)</f>
        <v>Can't say</v>
      </c>
      <c r="J119" t="str">
        <f>_xlfn.CONCAT(I119,H119)</f>
        <v>Can't say</v>
      </c>
    </row>
    <row r="120" spans="1:10" x14ac:dyDescent="0.25">
      <c r="A120" s="158">
        <v>9997</v>
      </c>
      <c r="B120" s="157" t="s">
        <v>336</v>
      </c>
      <c r="G120">
        <f>IF(A120="","",A120)</f>
        <v>9997</v>
      </c>
      <c r="H120" t="str">
        <f>_xlfn.CONCAT(D120,SUBSTITUTE(B120,"""","`"""),E120)</f>
        <v>Don't know</v>
      </c>
      <c r="J120" t="str">
        <f>_xlfn.CONCAT(I120,H120)</f>
        <v>Don't know</v>
      </c>
    </row>
    <row r="121" spans="1:10" x14ac:dyDescent="0.25">
      <c r="A121" s="158">
        <v>9999</v>
      </c>
      <c r="B121" s="157" t="s">
        <v>303</v>
      </c>
      <c r="G121">
        <f>IF(A121="","",A121)</f>
        <v>9999</v>
      </c>
      <c r="H121" t="str">
        <f>_xlfn.CONCAT(D121,SUBSTITUTE(B121,"""","`"""),E121)</f>
        <v>None</v>
      </c>
      <c r="J121" t="str">
        <f>_xlfn.CONCAT(I121,H121)</f>
        <v>None</v>
      </c>
    </row>
    <row r="122" spans="1:10" x14ac:dyDescent="0.25">
      <c r="A122" s="155"/>
    </row>
    <row r="123" spans="1:10" x14ac:dyDescent="0.25">
      <c r="A123" s="155"/>
    </row>
    <row r="124" spans="1:10" x14ac:dyDescent="0.25">
      <c r="A124" s="155"/>
    </row>
    <row r="125" spans="1:10" x14ac:dyDescent="0.25">
      <c r="A125" s="155"/>
    </row>
    <row r="126" spans="1:10" x14ac:dyDescent="0.25">
      <c r="A126" s="155"/>
    </row>
    <row r="127" spans="1:10" x14ac:dyDescent="0.25">
      <c r="A127" s="155"/>
    </row>
    <row r="128" spans="1:10" x14ac:dyDescent="0.25">
      <c r="A128" s="155"/>
    </row>
    <row r="129" spans="1:1" x14ac:dyDescent="0.25">
      <c r="A129" s="155"/>
    </row>
    <row r="130" spans="1:1" x14ac:dyDescent="0.25">
      <c r="A130" s="155"/>
    </row>
    <row r="131" spans="1:1" x14ac:dyDescent="0.25">
      <c r="A131" s="155"/>
    </row>
    <row r="132" spans="1:1" x14ac:dyDescent="0.25">
      <c r="A132" s="155"/>
    </row>
    <row r="133" spans="1:1" x14ac:dyDescent="0.25">
      <c r="A133" s="155"/>
    </row>
    <row r="134" spans="1:1" x14ac:dyDescent="0.25">
      <c r="A134" s="155"/>
    </row>
    <row r="135" spans="1:1" x14ac:dyDescent="0.25">
      <c r="A135" s="155"/>
    </row>
    <row r="136" spans="1:1" x14ac:dyDescent="0.25">
      <c r="A136" s="155"/>
    </row>
    <row r="137" spans="1:1" x14ac:dyDescent="0.25">
      <c r="A137" s="155"/>
    </row>
    <row r="138" spans="1:1" x14ac:dyDescent="0.25">
      <c r="A138" s="155"/>
    </row>
    <row r="139" spans="1:1" x14ac:dyDescent="0.25">
      <c r="A139" s="155"/>
    </row>
    <row r="140" spans="1:1" x14ac:dyDescent="0.25">
      <c r="A140" s="155"/>
    </row>
    <row r="141" spans="1:1" x14ac:dyDescent="0.25">
      <c r="A141" s="155"/>
    </row>
    <row r="142" spans="1:1" x14ac:dyDescent="0.25">
      <c r="A142" s="155"/>
    </row>
    <row r="143" spans="1:1" x14ac:dyDescent="0.25">
      <c r="A143" s="155"/>
    </row>
    <row r="144" spans="1:1" x14ac:dyDescent="0.25">
      <c r="A144" s="155"/>
    </row>
    <row r="145" spans="1:1" x14ac:dyDescent="0.25">
      <c r="A145" s="155"/>
    </row>
    <row r="146" spans="1:1" x14ac:dyDescent="0.25">
      <c r="A146" s="155"/>
    </row>
    <row r="147" spans="1:1" x14ac:dyDescent="0.25">
      <c r="A147" s="155"/>
    </row>
    <row r="148" spans="1:1" x14ac:dyDescent="0.25">
      <c r="A148" s="155"/>
    </row>
    <row r="149" spans="1:1" x14ac:dyDescent="0.25">
      <c r="A149" s="155"/>
    </row>
    <row r="150" spans="1:1" x14ac:dyDescent="0.25">
      <c r="A150" s="155"/>
    </row>
    <row r="151" spans="1:1" x14ac:dyDescent="0.25">
      <c r="A151" s="155"/>
    </row>
    <row r="152" spans="1:1" x14ac:dyDescent="0.25">
      <c r="A152" s="155"/>
    </row>
    <row r="153" spans="1:1" x14ac:dyDescent="0.25">
      <c r="A153" s="155"/>
    </row>
  </sheetData>
  <autoFilter ref="A1:J153" xr:uid="{307BE589-6CC3-474D-AB03-17DED04CBEA1}"/>
  <conditionalFormatting sqref="B86">
    <cfRule type="duplicateValues" dxfId="117" priority="2"/>
  </conditionalFormatting>
  <conditionalFormatting sqref="A97:A99">
    <cfRule type="duplicateValues" dxfId="116" priority="2841"/>
  </conditionalFormatting>
  <conditionalFormatting sqref="B87:B99 B1:B85">
    <cfRule type="duplicateValues" dxfId="115" priority="2861"/>
  </conditionalFormatting>
  <conditionalFormatting sqref="A1:A96">
    <cfRule type="duplicateValues" dxfId="114" priority="2936"/>
  </conditionalFormatting>
  <conditionalFormatting sqref="A1:A99">
    <cfRule type="duplicateValues" dxfId="113" priority="293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sheetPr>
    <tabColor rgb="FF92D050"/>
  </sheetPr>
  <dimension ref="A1:J124"/>
  <sheetViews>
    <sheetView tabSelected="1" topLeftCell="A101" workbookViewId="0">
      <selection activeCell="E124" sqref="E124"/>
    </sheetView>
  </sheetViews>
  <sheetFormatPr defaultRowHeight="15" x14ac:dyDescent="0.25"/>
  <cols>
    <col min="1" max="1" width="29.85546875" customWidth="1"/>
    <col min="2" max="2" width="58.5703125" customWidth="1"/>
    <col min="8" max="8" width="31" customWidth="1"/>
  </cols>
  <sheetData>
    <row r="1" spans="1:10" x14ac:dyDescent="0.25">
      <c r="A1" s="168" t="s">
        <v>533</v>
      </c>
      <c r="B1" s="16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70" t="s">
        <v>1504</v>
      </c>
      <c r="B2" s="174" t="s">
        <v>1059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2300+2301+2353+2355+2389</v>
      </c>
      <c r="H2" t="str">
        <f>_xlfn.CONCAT(D2,SUBSTITUTE(B2,"""","`"""),E2)</f>
        <v>`CAN LOAN VIA GCASH (NET)&lt;Q&gt;</v>
      </c>
      <c r="I2" t="s">
        <v>518</v>
      </c>
      <c r="J2" t="str">
        <f>_xlfn.CONCAT(I2,H2)</f>
        <v>&lt;G1B&gt;`CAN LOAN VIA GCASH (NET)&lt;Q&gt;</v>
      </c>
    </row>
    <row r="3" spans="1:10" x14ac:dyDescent="0.25">
      <c r="A3" s="170">
        <v>2300</v>
      </c>
      <c r="B3" s="167" t="s">
        <v>1060</v>
      </c>
      <c r="C3" t="s">
        <v>16</v>
      </c>
      <c r="D3" t="s">
        <v>318</v>
      </c>
      <c r="F3" t="s">
        <v>326</v>
      </c>
      <c r="G3">
        <f>IF(A3="","",A3)</f>
        <v>2300</v>
      </c>
      <c r="H3" t="str">
        <f>_xlfn.CONCAT(D3,SUBSTITUTE(B3,"""","`"""),E3)</f>
        <v>`     GCash can help you because you can loan from the brand</v>
      </c>
      <c r="I3" t="s">
        <v>520</v>
      </c>
      <c r="J3" t="str">
        <f>_xlfn.CONCAT(I3,H3)</f>
        <v>&lt;G2B&gt;&lt;G1P&gt;`     GCash can help you because you can loan from the brand</v>
      </c>
    </row>
    <row r="4" spans="1:10" x14ac:dyDescent="0.25">
      <c r="A4" s="170">
        <v>2301</v>
      </c>
      <c r="B4" s="167" t="s">
        <v>1061</v>
      </c>
      <c r="C4" t="s">
        <v>16</v>
      </c>
      <c r="D4" t="s">
        <v>318</v>
      </c>
      <c r="F4" t="s">
        <v>326</v>
      </c>
      <c r="G4">
        <f>IF(A4="","",A4)</f>
        <v>2301</v>
      </c>
      <c r="H4" t="str">
        <f>_xlfn.CONCAT(D4,SUBSTITUTE(B4,"""","`"""),E4)</f>
        <v>`     Can loan from GCash</v>
      </c>
      <c r="I4" t="s">
        <v>522</v>
      </c>
      <c r="J4" t="str">
        <f>_xlfn.CONCAT(I4,H4)</f>
        <v>&lt;G1P&gt;`     Can loan from GCash</v>
      </c>
    </row>
    <row r="5" spans="1:10" x14ac:dyDescent="0.25">
      <c r="A5" s="173">
        <v>2353</v>
      </c>
      <c r="B5" s="172" t="s">
        <v>1062</v>
      </c>
      <c r="C5" t="s">
        <v>16</v>
      </c>
      <c r="D5" t="s">
        <v>318</v>
      </c>
      <c r="F5" t="s">
        <v>326</v>
      </c>
      <c r="G5">
        <f>IF(A5="","",A5)</f>
        <v>2353</v>
      </c>
      <c r="H5" t="str">
        <f>_xlfn.CONCAT(D5,SUBSTITUTE(B5,"""","`"""),E5)</f>
        <v>`     Can loan on GCash if you need something</v>
      </c>
      <c r="I5" t="s">
        <v>522</v>
      </c>
      <c r="J5" t="str">
        <f>_xlfn.CONCAT(I5,H5)</f>
        <v>&lt;G1P&gt;`     Can loan on GCash if you need something</v>
      </c>
    </row>
    <row r="6" spans="1:10" x14ac:dyDescent="0.25">
      <c r="A6" s="173">
        <v>2355</v>
      </c>
      <c r="B6" s="172" t="s">
        <v>1063</v>
      </c>
      <c r="C6" t="s">
        <v>16</v>
      </c>
      <c r="D6" t="s">
        <v>318</v>
      </c>
      <c r="F6" t="s">
        <v>326</v>
      </c>
      <c r="G6">
        <f>IF(A6="","",A6)</f>
        <v>2355</v>
      </c>
      <c r="H6" t="str">
        <f>_xlfn.CONCAT(D6,SUBSTITUTE(B6,"""","`"""),E6)</f>
        <v>`     Can barrow money from Gcash</v>
      </c>
      <c r="I6" t="s">
        <v>522</v>
      </c>
      <c r="J6" t="str">
        <f>_xlfn.CONCAT(I6,H6)</f>
        <v>&lt;G1P&gt;`     Can barrow money from Gcash</v>
      </c>
    </row>
    <row r="7" spans="1:10" x14ac:dyDescent="0.25">
      <c r="A7" s="176">
        <v>2389</v>
      </c>
      <c r="B7" s="175" t="s">
        <v>1103</v>
      </c>
      <c r="C7" t="s">
        <v>16</v>
      </c>
      <c r="D7" t="s">
        <v>318</v>
      </c>
      <c r="F7" t="s">
        <v>326</v>
      </c>
      <c r="G7">
        <f>IF(A7="","",A7)</f>
        <v>2389</v>
      </c>
      <c r="H7" t="str">
        <f>_xlfn.CONCAT(D7,SUBSTITUTE(B7,"""","`"""),E7)</f>
        <v>`     Loan availability at GCash</v>
      </c>
      <c r="I7" t="s">
        <v>521</v>
      </c>
      <c r="J7" t="str">
        <f>_xlfn.CONCAT(I7,H7)</f>
        <v>&lt;G2E&gt;&lt;G1P&gt;`     Loan availability at GCash</v>
      </c>
    </row>
    <row r="8" spans="1:10" ht="31.5" x14ac:dyDescent="0.25">
      <c r="A8" s="170">
        <v>2402</v>
      </c>
      <c r="B8" s="174" t="s">
        <v>1500</v>
      </c>
      <c r="C8" t="s">
        <v>6</v>
      </c>
      <c r="D8" t="s">
        <v>323</v>
      </c>
      <c r="E8" t="s">
        <v>322</v>
      </c>
      <c r="F8" t="s">
        <v>327</v>
      </c>
      <c r="G8">
        <f>IF(A8="","",A8)</f>
        <v>2402</v>
      </c>
      <c r="H8" t="str">
        <f>_xlfn.CONCAT(D8,SUBSTITUTE(B8,"""","`"""),E8)</f>
        <v>`CAN LOAN FROM GCASH TO PAY BILLS NET (NET)&lt;Q&gt;</v>
      </c>
      <c r="J8" t="str">
        <f>_xlfn.CONCAT(I8,H8)</f>
        <v>`CAN LOAN FROM GCASH TO PAY BILLS NET (NET)&lt;Q&gt;</v>
      </c>
    </row>
    <row r="9" spans="1:10" x14ac:dyDescent="0.25">
      <c r="A9" s="180">
        <v>2402</v>
      </c>
      <c r="B9" s="179" t="s">
        <v>1064</v>
      </c>
      <c r="C9" t="s">
        <v>16</v>
      </c>
      <c r="D9" t="s">
        <v>318</v>
      </c>
      <c r="F9" t="s">
        <v>326</v>
      </c>
      <c r="G9">
        <f>IF(A9="","",A9)</f>
        <v>2402</v>
      </c>
      <c r="H9" t="str">
        <f>_xlfn.CONCAT(D9,SUBSTITUTE(B9,"""","`"""),E9)</f>
        <v>`     Can loan from GCash for your paying bills</v>
      </c>
      <c r="I9" t="s">
        <v>522</v>
      </c>
      <c r="J9" t="str">
        <f>_xlfn.CONCAT(I9,H9)</f>
        <v>&lt;G1P&gt;`     Can loan from GCash for your paying bills</v>
      </c>
    </row>
    <row r="10" spans="1:10" ht="42.75" x14ac:dyDescent="0.25">
      <c r="A10" s="170" t="s">
        <v>1505</v>
      </c>
      <c r="B10" s="174" t="s">
        <v>1065</v>
      </c>
      <c r="C10" t="s">
        <v>6</v>
      </c>
      <c r="D10" t="s">
        <v>323</v>
      </c>
      <c r="E10" t="s">
        <v>322</v>
      </c>
      <c r="F10" t="s">
        <v>327</v>
      </c>
      <c r="G10" t="str">
        <f>IF(A10="","",A10)</f>
        <v>2302+2303+2346+2351+2354+2356+2357+2372+2378+2407</v>
      </c>
      <c r="H10" t="str">
        <f>_xlfn.CONCAT(D10,SUBSTITUTE(B10,"""","`"""),E10)</f>
        <v>`GCASH IS A RELIABLE BRAND (NET)&lt;Q&gt;</v>
      </c>
      <c r="J10" t="str">
        <f>_xlfn.CONCAT(I10,H10)</f>
        <v>`GCASH IS A RELIABLE BRAND (NET)&lt;Q&gt;</v>
      </c>
    </row>
    <row r="11" spans="1:10" x14ac:dyDescent="0.25">
      <c r="A11" s="170">
        <v>2302</v>
      </c>
      <c r="B11" s="167" t="s">
        <v>1066</v>
      </c>
      <c r="C11" t="s">
        <v>16</v>
      </c>
      <c r="D11" t="s">
        <v>318</v>
      </c>
      <c r="F11" t="s">
        <v>326</v>
      </c>
      <c r="G11">
        <f>IF(A11="","",A11)</f>
        <v>2302</v>
      </c>
      <c r="H11" t="str">
        <f>_xlfn.CONCAT(D11,SUBSTITUTE(B11,"""","`"""),E11)</f>
        <v>`     No need to worry because you can rely in GCash loan</v>
      </c>
      <c r="I11" t="s">
        <v>520</v>
      </c>
      <c r="J11" t="str">
        <f>_xlfn.CONCAT(I11,H11)</f>
        <v>&lt;G2B&gt;&lt;G1P&gt;`     No need to worry because you can rely in GCash loan</v>
      </c>
    </row>
    <row r="12" spans="1:10" x14ac:dyDescent="0.25">
      <c r="A12" s="170">
        <v>2303</v>
      </c>
      <c r="B12" s="167" t="s">
        <v>1067</v>
      </c>
      <c r="C12" t="s">
        <v>16</v>
      </c>
      <c r="D12" t="s">
        <v>318</v>
      </c>
      <c r="F12" t="s">
        <v>326</v>
      </c>
      <c r="G12">
        <f>IF(A12="","",A12)</f>
        <v>2303</v>
      </c>
      <c r="H12" t="str">
        <f>_xlfn.CONCAT(D12,SUBSTITUTE(B12,"""","`"""),E12)</f>
        <v>`     GCash is reliable for loaning</v>
      </c>
      <c r="I12" t="s">
        <v>522</v>
      </c>
      <c r="J12" t="str">
        <f>_xlfn.CONCAT(I12,H12)</f>
        <v>&lt;G1P&gt;`     GCash is reliable for loaning</v>
      </c>
    </row>
    <row r="13" spans="1:10" x14ac:dyDescent="0.25">
      <c r="A13" s="173">
        <v>2346</v>
      </c>
      <c r="B13" s="172" t="s">
        <v>735</v>
      </c>
      <c r="C13" t="s">
        <v>16</v>
      </c>
      <c r="D13" t="s">
        <v>318</v>
      </c>
      <c r="F13" t="s">
        <v>326</v>
      </c>
      <c r="G13">
        <f>IF(A13="","",A13)</f>
        <v>2346</v>
      </c>
      <c r="H13" t="str">
        <f>_xlfn.CONCAT(D13,SUBSTITUTE(B13,"""","`"""),E13)</f>
        <v>`     GCash is reliable</v>
      </c>
      <c r="I13" t="s">
        <v>522</v>
      </c>
      <c r="J13" t="str">
        <f>_xlfn.CONCAT(I13,H13)</f>
        <v>&lt;G1P&gt;`     GCash is reliable</v>
      </c>
    </row>
    <row r="14" spans="1:10" x14ac:dyDescent="0.25">
      <c r="A14" s="173">
        <v>2351</v>
      </c>
      <c r="B14" s="172" t="s">
        <v>1068</v>
      </c>
      <c r="C14" t="s">
        <v>16</v>
      </c>
      <c r="D14" t="s">
        <v>318</v>
      </c>
      <c r="F14" t="s">
        <v>326</v>
      </c>
      <c r="G14">
        <f>IF(A14="","",A14)</f>
        <v>2351</v>
      </c>
      <c r="H14" t="str">
        <f>_xlfn.CONCAT(D14,SUBSTITUTE(B14,"""","`"""),E14)</f>
        <v>`     No need to worry because there is already GLoan on GCash</v>
      </c>
      <c r="I14" t="s">
        <v>522</v>
      </c>
      <c r="J14" t="str">
        <f>_xlfn.CONCAT(I14,H14)</f>
        <v>&lt;G1P&gt;`     No need to worry because there is already GLoan on GCash</v>
      </c>
    </row>
    <row r="15" spans="1:10" x14ac:dyDescent="0.25">
      <c r="A15" s="173">
        <v>2354</v>
      </c>
      <c r="B15" s="172" t="s">
        <v>1069</v>
      </c>
      <c r="C15" t="s">
        <v>16</v>
      </c>
      <c r="D15" t="s">
        <v>318</v>
      </c>
      <c r="F15" t="s">
        <v>326</v>
      </c>
      <c r="G15">
        <f>IF(A15="","",A15)</f>
        <v>2354</v>
      </c>
      <c r="H15" t="str">
        <f>_xlfn.CONCAT(D15,SUBSTITUTE(B15,"""","`"""),E15)</f>
        <v>`     GCash is reliable in times of emergency</v>
      </c>
      <c r="I15" t="s">
        <v>522</v>
      </c>
      <c r="J15" t="str">
        <f>_xlfn.CONCAT(I15,H15)</f>
        <v>&lt;G1P&gt;`     GCash is reliable in times of emergency</v>
      </c>
    </row>
    <row r="16" spans="1:10" x14ac:dyDescent="0.25">
      <c r="A16" s="173">
        <v>2356</v>
      </c>
      <c r="B16" s="172" t="s">
        <v>1070</v>
      </c>
      <c r="C16" t="s">
        <v>16</v>
      </c>
      <c r="D16" t="s">
        <v>318</v>
      </c>
      <c r="F16" t="s">
        <v>326</v>
      </c>
      <c r="G16">
        <f>IF(A16="","",A16)</f>
        <v>2356</v>
      </c>
      <c r="H16" t="str">
        <f>_xlfn.CONCAT(D16,SUBSTITUTE(B16,"""","`"""),E16)</f>
        <v>`     Gcash is reliable on online transactions</v>
      </c>
      <c r="I16" t="s">
        <v>522</v>
      </c>
      <c r="J16" t="str">
        <f>_xlfn.CONCAT(I16,H16)</f>
        <v>&lt;G1P&gt;`     Gcash is reliable on online transactions</v>
      </c>
    </row>
    <row r="17" spans="1:10" x14ac:dyDescent="0.25">
      <c r="A17" s="173">
        <v>2357</v>
      </c>
      <c r="B17" s="172" t="s">
        <v>1071</v>
      </c>
      <c r="C17" t="s">
        <v>16</v>
      </c>
      <c r="D17" t="s">
        <v>318</v>
      </c>
      <c r="F17" t="s">
        <v>326</v>
      </c>
      <c r="G17">
        <f>IF(A17="","",A17)</f>
        <v>2357</v>
      </c>
      <c r="H17" t="str">
        <f>_xlfn.CONCAT(D17,SUBSTITUTE(B17,"""","`"""),E17)</f>
        <v>`     Gcash is reliable in times of need</v>
      </c>
      <c r="I17" t="s">
        <v>522</v>
      </c>
      <c r="J17" t="str">
        <f>_xlfn.CONCAT(I17,H17)</f>
        <v>&lt;G1P&gt;`     Gcash is reliable in times of need</v>
      </c>
    </row>
    <row r="18" spans="1:10" x14ac:dyDescent="0.25">
      <c r="A18" s="173">
        <v>2372</v>
      </c>
      <c r="B18" s="172" t="s">
        <v>1072</v>
      </c>
      <c r="C18" t="s">
        <v>16</v>
      </c>
      <c r="D18" t="s">
        <v>318</v>
      </c>
      <c r="F18" t="s">
        <v>326</v>
      </c>
      <c r="G18">
        <f>IF(A18="","",A18)</f>
        <v>2372</v>
      </c>
      <c r="H18" t="str">
        <f>_xlfn.CONCAT(D18,SUBSTITUTE(B18,"""","`"""),E18)</f>
        <v>`     Can rely financially</v>
      </c>
      <c r="I18" t="s">
        <v>522</v>
      </c>
      <c r="J18" t="str">
        <f>_xlfn.CONCAT(I18,H18)</f>
        <v>&lt;G1P&gt;`     Can rely financially</v>
      </c>
    </row>
    <row r="19" spans="1:10" x14ac:dyDescent="0.25">
      <c r="A19" s="173">
        <v>2378</v>
      </c>
      <c r="B19" s="172" t="s">
        <v>1073</v>
      </c>
      <c r="C19" t="s">
        <v>16</v>
      </c>
      <c r="D19" t="s">
        <v>318</v>
      </c>
      <c r="F19" t="s">
        <v>326</v>
      </c>
      <c r="G19">
        <f>IF(A19="","",A19)</f>
        <v>2378</v>
      </c>
      <c r="H19" t="str">
        <f>_xlfn.CONCAT(D19,SUBSTITUTE(B19,"""","`"""),E19)</f>
        <v>`     Reliable on expenses</v>
      </c>
      <c r="I19" t="s">
        <v>522</v>
      </c>
      <c r="J19" t="str">
        <f>_xlfn.CONCAT(I19,H19)</f>
        <v>&lt;G1P&gt;`     Reliable on expenses</v>
      </c>
    </row>
    <row r="20" spans="1:10" x14ac:dyDescent="0.25">
      <c r="A20" s="180">
        <v>2407</v>
      </c>
      <c r="B20" s="179" t="s">
        <v>1114</v>
      </c>
      <c r="C20" t="s">
        <v>16</v>
      </c>
      <c r="D20" t="s">
        <v>318</v>
      </c>
      <c r="F20" t="s">
        <v>326</v>
      </c>
      <c r="G20">
        <f>IF(A20="","",A20)</f>
        <v>2407</v>
      </c>
      <c r="H20" t="str">
        <f>_xlfn.CONCAT(D20,SUBSTITUTE(B20,"""","`"""),E20)</f>
        <v>`     Gloan in Gcash is reliable especially in times of need</v>
      </c>
      <c r="I20" t="s">
        <v>521</v>
      </c>
      <c r="J20" t="str">
        <f>_xlfn.CONCAT(I20,H20)</f>
        <v>&lt;G2E&gt;&lt;G1P&gt;`     Gloan in Gcash is reliable especially in times of need</v>
      </c>
    </row>
    <row r="21" spans="1:10" ht="31.5" x14ac:dyDescent="0.25">
      <c r="A21" s="170" t="s">
        <v>1506</v>
      </c>
      <c r="B21" s="174" t="s">
        <v>1074</v>
      </c>
      <c r="C21" t="s">
        <v>6</v>
      </c>
      <c r="D21" t="s">
        <v>323</v>
      </c>
      <c r="E21" t="s">
        <v>322</v>
      </c>
      <c r="F21" t="s">
        <v>327</v>
      </c>
      <c r="G21" t="str">
        <f>IF(A21="","",A21)</f>
        <v>2304+2305+2306+2369+2406</v>
      </c>
      <c r="H21" t="str">
        <f>_xlfn.CONCAT(D21,SUBSTITUTE(B21,"""","`"""),E21)</f>
        <v>`LOAN TO AUGMENT INCOME AND DAILY EXPENSES (NET)&lt;Q&gt;</v>
      </c>
      <c r="J21" t="str">
        <f>_xlfn.CONCAT(I21,H21)</f>
        <v>`LOAN TO AUGMENT INCOME AND DAILY EXPENSES (NET)&lt;Q&gt;</v>
      </c>
    </row>
    <row r="22" spans="1:10" x14ac:dyDescent="0.25">
      <c r="A22" s="170">
        <v>2304</v>
      </c>
      <c r="B22" s="167" t="s">
        <v>1075</v>
      </c>
      <c r="C22" t="s">
        <v>16</v>
      </c>
      <c r="D22" t="s">
        <v>318</v>
      </c>
      <c r="F22" t="s">
        <v>326</v>
      </c>
      <c r="G22">
        <f>IF(A22="","",A22)</f>
        <v>2304</v>
      </c>
      <c r="H22" t="str">
        <f>_xlfn.CONCAT(D22,SUBSTITUTE(B22,"""","`"""),E22)</f>
        <v>`     Loan to pay for expenses</v>
      </c>
      <c r="I22" t="s">
        <v>520</v>
      </c>
      <c r="J22" t="str">
        <f>_xlfn.CONCAT(I22,H22)</f>
        <v>&lt;G2B&gt;&lt;G1P&gt;`     Loan to pay for expenses</v>
      </c>
    </row>
    <row r="23" spans="1:10" x14ac:dyDescent="0.25">
      <c r="A23" s="166">
        <v>2305</v>
      </c>
      <c r="B23" s="167" t="s">
        <v>1076</v>
      </c>
      <c r="C23" t="s">
        <v>16</v>
      </c>
      <c r="D23" t="s">
        <v>318</v>
      </c>
      <c r="F23" t="s">
        <v>326</v>
      </c>
      <c r="G23">
        <f>IF(A23="","",A23)</f>
        <v>2305</v>
      </c>
      <c r="H23" t="str">
        <f>_xlfn.CONCAT(D23,SUBSTITUTE(B23,"""","`"""),E23)</f>
        <v>`     GCash is reliable when we have multiple expenses</v>
      </c>
      <c r="I23" t="s">
        <v>522</v>
      </c>
      <c r="J23" t="str">
        <f>_xlfn.CONCAT(I23,H23)</f>
        <v>&lt;G1P&gt;`     GCash is reliable when we have multiple expenses</v>
      </c>
    </row>
    <row r="24" spans="1:10" x14ac:dyDescent="0.25">
      <c r="A24" s="166">
        <v>2306</v>
      </c>
      <c r="B24" s="167" t="s">
        <v>1077</v>
      </c>
      <c r="C24" t="s">
        <v>16</v>
      </c>
      <c r="D24" t="s">
        <v>318</v>
      </c>
      <c r="F24" t="s">
        <v>326</v>
      </c>
      <c r="G24">
        <f>IF(A24="","",A24)</f>
        <v>2306</v>
      </c>
      <c r="H24" t="str">
        <f>_xlfn.CONCAT(D24,SUBSTITUTE(B24,"""","`"""),E24)</f>
        <v>`     GLoan can be used for my needs</v>
      </c>
      <c r="I24" t="s">
        <v>522</v>
      </c>
      <c r="J24" t="str">
        <f>_xlfn.CONCAT(I24,H24)</f>
        <v>&lt;G1P&gt;`     GLoan can be used for my needs</v>
      </c>
    </row>
    <row r="25" spans="1:10" x14ac:dyDescent="0.25">
      <c r="A25" s="178">
        <v>2369</v>
      </c>
      <c r="B25" s="172" t="s">
        <v>1078</v>
      </c>
      <c r="C25" t="s">
        <v>16</v>
      </c>
      <c r="D25" t="s">
        <v>318</v>
      </c>
      <c r="F25" t="s">
        <v>326</v>
      </c>
      <c r="G25">
        <f>IF(A25="","",A25)</f>
        <v>2369</v>
      </c>
      <c r="H25" t="str">
        <f>_xlfn.CONCAT(D25,SUBSTITUTE(B25,"""","`"""),E25)</f>
        <v>`     Can get loan on GCash to pay all expenses</v>
      </c>
      <c r="I25" t="s">
        <v>522</v>
      </c>
      <c r="J25" t="str">
        <f>_xlfn.CONCAT(I25,H25)</f>
        <v>&lt;G1P&gt;`     Can get loan on GCash to pay all expenses</v>
      </c>
    </row>
    <row r="26" spans="1:10" x14ac:dyDescent="0.25">
      <c r="A26" s="180">
        <v>2406</v>
      </c>
      <c r="B26" s="179" t="s">
        <v>1113</v>
      </c>
      <c r="C26" t="s">
        <v>16</v>
      </c>
      <c r="D26" t="s">
        <v>318</v>
      </c>
      <c r="F26" t="s">
        <v>326</v>
      </c>
      <c r="G26">
        <f>IF(A26="","",A26)</f>
        <v>2406</v>
      </c>
      <c r="H26" t="str">
        <f>_xlfn.CONCAT(D26,SUBSTITUTE(B26,"""","`"""),E26)</f>
        <v>`     Even if the fees are stacked, Gcash is there</v>
      </c>
      <c r="I26" t="s">
        <v>521</v>
      </c>
      <c r="J26" t="str">
        <f>_xlfn.CONCAT(I26,H26)</f>
        <v>&lt;G2E&gt;&lt;G1P&gt;`     Even if the fees are stacked, Gcash is there</v>
      </c>
    </row>
    <row r="27" spans="1:10" ht="31.5" x14ac:dyDescent="0.25">
      <c r="A27" s="171" t="s">
        <v>1507</v>
      </c>
      <c r="B27" s="174" t="s">
        <v>1079</v>
      </c>
      <c r="C27" t="s">
        <v>6</v>
      </c>
      <c r="D27" t="s">
        <v>323</v>
      </c>
      <c r="E27" t="s">
        <v>322</v>
      </c>
      <c r="F27" t="s">
        <v>327</v>
      </c>
      <c r="G27" t="str">
        <f>IF(A27="","",A27)</f>
        <v>2307+2392+2393</v>
      </c>
      <c r="H27" t="str">
        <f>_xlfn.CONCAT(D27,SUBSTITUTE(B27,"""","`"""),E27)</f>
        <v>`ABLE TO HELP FINISH STUDIES WITH THE HELP OF GLOAN (NET)&lt;Q&gt;</v>
      </c>
      <c r="J27" t="str">
        <f>_xlfn.CONCAT(I27,H27)</f>
        <v>`ABLE TO HELP FINISH STUDIES WITH THE HELP OF GLOAN (NET)&lt;Q&gt;</v>
      </c>
    </row>
    <row r="28" spans="1:10" x14ac:dyDescent="0.25">
      <c r="A28" s="171">
        <v>2307</v>
      </c>
      <c r="B28" s="167" t="s">
        <v>1080</v>
      </c>
      <c r="C28" t="s">
        <v>16</v>
      </c>
      <c r="D28" t="s">
        <v>318</v>
      </c>
      <c r="F28" t="s">
        <v>326</v>
      </c>
      <c r="G28">
        <f>IF(A28="","",A28)</f>
        <v>2307</v>
      </c>
      <c r="H28" t="str">
        <f>_xlfn.CONCAT(D28,SUBSTITUTE(B28,"""","`"""),E28)</f>
        <v>`     Her son was able to finish studies with the help of GLoan</v>
      </c>
      <c r="I28" t="s">
        <v>520</v>
      </c>
      <c r="J28" t="str">
        <f>_xlfn.CONCAT(I28,H28)</f>
        <v>&lt;G2B&gt;&lt;G1P&gt;`     Her son was able to finish studies with the help of GLoan</v>
      </c>
    </row>
    <row r="29" spans="1:10" x14ac:dyDescent="0.25">
      <c r="A29" s="176">
        <v>2392</v>
      </c>
      <c r="B29" s="175" t="s">
        <v>1139</v>
      </c>
      <c r="C29" t="s">
        <v>16</v>
      </c>
      <c r="D29" t="s">
        <v>318</v>
      </c>
      <c r="F29" t="s">
        <v>326</v>
      </c>
      <c r="G29">
        <f>IF(A29="","",A29)</f>
        <v>2392</v>
      </c>
      <c r="H29" t="str">
        <f>_xlfn.CONCAT(D29,SUBSTITUTE(B29,"""","`"""),E29)</f>
        <v>`     Can avail services such as educational loans</v>
      </c>
      <c r="I29" t="s">
        <v>522</v>
      </c>
      <c r="J29" t="str">
        <f>_xlfn.CONCAT(I29,H29)</f>
        <v>&lt;G1P&gt;`     Can avail services such as educational loans</v>
      </c>
    </row>
    <row r="30" spans="1:10" x14ac:dyDescent="0.25">
      <c r="A30" s="176">
        <v>2393</v>
      </c>
      <c r="B30" s="175" t="s">
        <v>783</v>
      </c>
      <c r="C30" t="s">
        <v>16</v>
      </c>
      <c r="D30" t="s">
        <v>318</v>
      </c>
      <c r="F30" t="s">
        <v>326</v>
      </c>
      <c r="G30">
        <f>IF(A30="","",A30)</f>
        <v>2393</v>
      </c>
      <c r="H30" t="str">
        <f>_xlfn.CONCAT(D30,SUBSTITUTE(B30,"""","`"""),E30)</f>
        <v>`     GCash is a big help</v>
      </c>
      <c r="I30" t="s">
        <v>521</v>
      </c>
      <c r="J30" t="str">
        <f>_xlfn.CONCAT(I30,H30)</f>
        <v>&lt;G2E&gt;&lt;G1P&gt;`     GCash is a big help</v>
      </c>
    </row>
    <row r="31" spans="1:10" ht="15.75" x14ac:dyDescent="0.25">
      <c r="A31" s="171" t="s">
        <v>1148</v>
      </c>
      <c r="B31" s="174" t="s">
        <v>1081</v>
      </c>
      <c r="C31" t="s">
        <v>6</v>
      </c>
      <c r="D31" t="s">
        <v>323</v>
      </c>
      <c r="E31" t="s">
        <v>322</v>
      </c>
      <c r="F31" t="s">
        <v>327</v>
      </c>
      <c r="G31" t="str">
        <f>IF(A31="","",A31)</f>
        <v>2308+2309+2310</v>
      </c>
      <c r="H31" t="str">
        <f>_xlfn.CONCAT(D31,SUBSTITUTE(B31,"""","`"""),E31)</f>
        <v>`CAN USE GLOAN ANYTIME (NET)&lt;Q&gt;</v>
      </c>
      <c r="J31" t="str">
        <f>_xlfn.CONCAT(I31,H31)</f>
        <v>`CAN USE GLOAN ANYTIME (NET)&lt;Q&gt;</v>
      </c>
    </row>
    <row r="32" spans="1:10" x14ac:dyDescent="0.25">
      <c r="A32" s="171">
        <v>2308</v>
      </c>
      <c r="B32" s="167" t="s">
        <v>1082</v>
      </c>
      <c r="C32" t="s">
        <v>16</v>
      </c>
      <c r="D32" t="s">
        <v>318</v>
      </c>
      <c r="F32" t="s">
        <v>326</v>
      </c>
      <c r="G32">
        <f>IF(A32="","",A32)</f>
        <v>2308</v>
      </c>
      <c r="H32" t="str">
        <f>_xlfn.CONCAT(D32,SUBSTITUTE(B32,"""","`"""),E32)</f>
        <v>`     Can use GLoan anytime</v>
      </c>
      <c r="I32" t="s">
        <v>520</v>
      </c>
      <c r="J32" t="str">
        <f>_xlfn.CONCAT(I32,H32)</f>
        <v>&lt;G2B&gt;&lt;G1P&gt;`     Can use GLoan anytime</v>
      </c>
    </row>
    <row r="33" spans="1:10" x14ac:dyDescent="0.25">
      <c r="A33" s="171">
        <v>2309</v>
      </c>
      <c r="B33" s="167" t="s">
        <v>1022</v>
      </c>
      <c r="C33" t="s">
        <v>16</v>
      </c>
      <c r="D33" t="s">
        <v>318</v>
      </c>
      <c r="F33" t="s">
        <v>326</v>
      </c>
      <c r="G33">
        <f>IF(A33="","",A33)</f>
        <v>2309</v>
      </c>
      <c r="H33" t="str">
        <f>_xlfn.CONCAT(D33,SUBSTITUTE(B33,"""","`"""),E33)</f>
        <v>`     Can loan anytime</v>
      </c>
      <c r="I33" t="s">
        <v>522</v>
      </c>
      <c r="J33" t="str">
        <f>_xlfn.CONCAT(I33,H33)</f>
        <v>&lt;G1P&gt;`     Can loan anytime</v>
      </c>
    </row>
    <row r="34" spans="1:10" x14ac:dyDescent="0.25">
      <c r="A34" s="171">
        <v>2310</v>
      </c>
      <c r="B34" s="167" t="s">
        <v>1083</v>
      </c>
      <c r="C34" t="s">
        <v>16</v>
      </c>
      <c r="D34" t="s">
        <v>318</v>
      </c>
      <c r="F34" t="s">
        <v>326</v>
      </c>
      <c r="G34">
        <f>IF(A34="","",A34)</f>
        <v>2310</v>
      </c>
      <c r="H34" t="str">
        <f>_xlfn.CONCAT(D34,SUBSTITUTE(B34,"""","`"""),E34)</f>
        <v>`     Can loan from GCash anytime</v>
      </c>
      <c r="I34" t="s">
        <v>521</v>
      </c>
      <c r="J34" t="str">
        <f>_xlfn.CONCAT(I34,H34)</f>
        <v>&lt;G2E&gt;&lt;G1P&gt;`     Can loan from GCash anytime</v>
      </c>
    </row>
    <row r="35" spans="1:10" ht="15.75" x14ac:dyDescent="0.25">
      <c r="A35" s="171" t="s">
        <v>1149</v>
      </c>
      <c r="B35" s="174" t="s">
        <v>1084</v>
      </c>
      <c r="C35" t="s">
        <v>6</v>
      </c>
      <c r="D35" t="s">
        <v>323</v>
      </c>
      <c r="E35" t="s">
        <v>322</v>
      </c>
      <c r="F35" t="s">
        <v>327</v>
      </c>
      <c r="G35" t="str">
        <f>IF(A35="","",A35)</f>
        <v>2314+2315+2347</v>
      </c>
      <c r="H35" t="str">
        <f>_xlfn.CONCAT(D35,SUBSTITUTE(B35,"""","`"""),E35)</f>
        <v>`ABOUT GCASH PRODUCTS (NET)&lt;Q&gt;</v>
      </c>
      <c r="J35" t="str">
        <f>_xlfn.CONCAT(I35,H35)</f>
        <v>`ABOUT GCASH PRODUCTS (NET)&lt;Q&gt;</v>
      </c>
    </row>
    <row r="36" spans="1:10" x14ac:dyDescent="0.25">
      <c r="A36" s="171">
        <v>2314</v>
      </c>
      <c r="B36" s="167" t="s">
        <v>1085</v>
      </c>
      <c r="C36" t="s">
        <v>16</v>
      </c>
      <c r="D36" t="s">
        <v>318</v>
      </c>
      <c r="F36" t="s">
        <v>326</v>
      </c>
      <c r="G36">
        <f>IF(A36="","",A36)</f>
        <v>2314</v>
      </c>
      <c r="H36" t="str">
        <f>_xlfn.CONCAT(D36,SUBSTITUTE(B36,"""","`"""),E36)</f>
        <v>`     GCash has good products</v>
      </c>
      <c r="I36" t="s">
        <v>520</v>
      </c>
      <c r="J36" t="str">
        <f>_xlfn.CONCAT(I36,H36)</f>
        <v>&lt;G2B&gt;&lt;G1P&gt;`     GCash has good products</v>
      </c>
    </row>
    <row r="37" spans="1:10" x14ac:dyDescent="0.25">
      <c r="A37" s="171">
        <v>2315</v>
      </c>
      <c r="B37" s="167" t="s">
        <v>1086</v>
      </c>
      <c r="C37" t="s">
        <v>16</v>
      </c>
      <c r="D37" t="s">
        <v>318</v>
      </c>
      <c r="F37" t="s">
        <v>326</v>
      </c>
      <c r="G37">
        <f>IF(A37="","",A37)</f>
        <v>2315</v>
      </c>
      <c r="H37" t="str">
        <f>_xlfn.CONCAT(D37,SUBSTITUTE(B37,"""","`"""),E37)</f>
        <v>`     Awesome</v>
      </c>
      <c r="I37" t="s">
        <v>522</v>
      </c>
      <c r="J37" t="str">
        <f>_xlfn.CONCAT(I37,H37)</f>
        <v>&lt;G1P&gt;`     Awesome</v>
      </c>
    </row>
    <row r="38" spans="1:10" x14ac:dyDescent="0.25">
      <c r="A38" s="177">
        <v>2347</v>
      </c>
      <c r="B38" s="172" t="s">
        <v>1087</v>
      </c>
      <c r="C38" t="s">
        <v>16</v>
      </c>
      <c r="D38" t="s">
        <v>318</v>
      </c>
      <c r="F38" t="s">
        <v>326</v>
      </c>
      <c r="G38">
        <f>IF(A38="","",A38)</f>
        <v>2347</v>
      </c>
      <c r="H38" t="str">
        <f>_xlfn.CONCAT(D38,SUBSTITUTE(B38,"""","`"""),E38)</f>
        <v>`     GCash is good in eveything</v>
      </c>
      <c r="I38" t="s">
        <v>521</v>
      </c>
      <c r="J38" t="str">
        <f>_xlfn.CONCAT(I38,H38)</f>
        <v>&lt;G2E&gt;&lt;G1P&gt;`     GCash is good in eveything</v>
      </c>
    </row>
    <row r="39" spans="1:10" ht="31.5" x14ac:dyDescent="0.25">
      <c r="A39" s="170" t="s">
        <v>1150</v>
      </c>
      <c r="B39" s="174" t="s">
        <v>1088</v>
      </c>
      <c r="C39" t="s">
        <v>6</v>
      </c>
      <c r="D39" t="s">
        <v>323</v>
      </c>
      <c r="E39" t="s">
        <v>322</v>
      </c>
      <c r="F39" t="s">
        <v>327</v>
      </c>
      <c r="G39" t="str">
        <f>IF(A39="","",A39)</f>
        <v>2316+2317+2318+2319+2320+2349+2367+2376</v>
      </c>
      <c r="H39" t="str">
        <f>_xlfn.CONCAT(D39,SUBSTITUTE(B39,"""","`"""),E39)</f>
        <v>`CAN LOAN FOR GRADUATION/SCHOOL EXPENSES (NET)&lt;Q&gt;</v>
      </c>
      <c r="J39" t="str">
        <f>_xlfn.CONCAT(I39,H39)</f>
        <v>`CAN LOAN FOR GRADUATION/SCHOOL EXPENSES (NET)&lt;Q&gt;</v>
      </c>
    </row>
    <row r="40" spans="1:10" x14ac:dyDescent="0.25">
      <c r="A40" s="170">
        <v>2316</v>
      </c>
      <c r="B40" s="167" t="s">
        <v>1089</v>
      </c>
      <c r="C40" t="s">
        <v>16</v>
      </c>
      <c r="D40" t="s">
        <v>318</v>
      </c>
      <c r="F40" t="s">
        <v>326</v>
      </c>
      <c r="G40">
        <f>IF(A40="","",A40)</f>
        <v>2316</v>
      </c>
      <c r="H40" t="str">
        <f>_xlfn.CONCAT(D40,SUBSTITUTE(B40,"""","`"""),E40)</f>
        <v>`     Can loan to use for graduation</v>
      </c>
      <c r="I40" t="s">
        <v>520</v>
      </c>
      <c r="J40" t="str">
        <f>_xlfn.CONCAT(I40,H40)</f>
        <v>&lt;G2B&gt;&lt;G1P&gt;`     Can loan to use for graduation</v>
      </c>
    </row>
    <row r="41" spans="1:10" x14ac:dyDescent="0.25">
      <c r="A41" s="170">
        <v>2317</v>
      </c>
      <c r="B41" s="167" t="s">
        <v>1090</v>
      </c>
      <c r="C41" t="s">
        <v>16</v>
      </c>
      <c r="D41" t="s">
        <v>318</v>
      </c>
      <c r="F41" t="s">
        <v>326</v>
      </c>
      <c r="G41">
        <f>IF(A41="","",A41)</f>
        <v>2317</v>
      </c>
      <c r="H41" t="str">
        <f>_xlfn.CONCAT(D41,SUBSTITUTE(B41,"""","`"""),E41)</f>
        <v>`     Can loan for school expenses</v>
      </c>
      <c r="I41" t="s">
        <v>522</v>
      </c>
      <c r="J41" t="str">
        <f>_xlfn.CONCAT(I41,H41)</f>
        <v>&lt;G1P&gt;`     Can loan for school expenses</v>
      </c>
    </row>
    <row r="42" spans="1:10" x14ac:dyDescent="0.25">
      <c r="A42" s="170">
        <v>2318</v>
      </c>
      <c r="B42" s="167" t="s">
        <v>1091</v>
      </c>
      <c r="C42" t="s">
        <v>16</v>
      </c>
      <c r="D42" t="s">
        <v>318</v>
      </c>
      <c r="F42" t="s">
        <v>326</v>
      </c>
      <c r="G42">
        <f>IF(A42="","",A42)</f>
        <v>2318</v>
      </c>
      <c r="H42" t="str">
        <f>_xlfn.CONCAT(D42,SUBSTITUTE(B42,"""","`"""),E42)</f>
        <v>`     Can loan from GCash for school expenses</v>
      </c>
      <c r="I42" t="s">
        <v>522</v>
      </c>
      <c r="J42" t="str">
        <f>_xlfn.CONCAT(I42,H42)</f>
        <v>&lt;G1P&gt;`     Can loan from GCash for school expenses</v>
      </c>
    </row>
    <row r="43" spans="1:10" x14ac:dyDescent="0.25">
      <c r="A43" s="170">
        <v>2319</v>
      </c>
      <c r="B43" s="167" t="s">
        <v>1092</v>
      </c>
      <c r="C43" t="s">
        <v>16</v>
      </c>
      <c r="D43" t="s">
        <v>318</v>
      </c>
      <c r="F43" t="s">
        <v>326</v>
      </c>
      <c r="G43">
        <f>IF(A43="","",A43)</f>
        <v>2319</v>
      </c>
      <c r="H43" t="str">
        <f>_xlfn.CONCAT(D43,SUBSTITUTE(B43,"""","`"""),E43)</f>
        <v>`     Can be used for school expenses</v>
      </c>
      <c r="I43" t="s">
        <v>522</v>
      </c>
      <c r="J43" t="str">
        <f>_xlfn.CONCAT(I43,H43)</f>
        <v>&lt;G1P&gt;`     Can be used for school expenses</v>
      </c>
    </row>
    <row r="44" spans="1:10" x14ac:dyDescent="0.25">
      <c r="A44" s="170">
        <v>2320</v>
      </c>
      <c r="B44" s="167" t="s">
        <v>1093</v>
      </c>
      <c r="C44" t="s">
        <v>16</v>
      </c>
      <c r="D44" t="s">
        <v>318</v>
      </c>
      <c r="F44" t="s">
        <v>326</v>
      </c>
      <c r="G44">
        <f>IF(A44="","",A44)</f>
        <v>2320</v>
      </c>
      <c r="H44" t="str">
        <f>_xlfn.CONCAT(D44,SUBSTITUTE(B44,"""","`"""),E44)</f>
        <v>`     Can loan from GCash to pay for tuition fee</v>
      </c>
      <c r="I44" t="s">
        <v>522</v>
      </c>
      <c r="J44" t="str">
        <f>_xlfn.CONCAT(I44,H44)</f>
        <v>&lt;G1P&gt;`     Can loan from GCash to pay for tuition fee</v>
      </c>
    </row>
    <row r="45" spans="1:10" x14ac:dyDescent="0.25">
      <c r="A45" s="173">
        <v>2349</v>
      </c>
      <c r="B45" s="172" t="s">
        <v>1094</v>
      </c>
      <c r="C45" t="s">
        <v>16</v>
      </c>
      <c r="D45" t="s">
        <v>318</v>
      </c>
      <c r="F45" t="s">
        <v>326</v>
      </c>
      <c r="G45">
        <f>IF(A45="","",A45)</f>
        <v>2349</v>
      </c>
      <c r="H45" t="str">
        <f>_xlfn.CONCAT(D45,SUBSTITUTE(B45,"""","`"""),E45)</f>
        <v>`     Can loan from GCash to graduate in school</v>
      </c>
      <c r="I45" t="s">
        <v>522</v>
      </c>
      <c r="J45" t="str">
        <f>_xlfn.CONCAT(I45,H45)</f>
        <v>&lt;G1P&gt;`     Can loan from GCash to graduate in school</v>
      </c>
    </row>
    <row r="46" spans="1:10" x14ac:dyDescent="0.25">
      <c r="A46" s="173">
        <v>2367</v>
      </c>
      <c r="B46" s="172" t="s">
        <v>1095</v>
      </c>
      <c r="C46" t="s">
        <v>16</v>
      </c>
      <c r="D46" t="s">
        <v>318</v>
      </c>
      <c r="F46" t="s">
        <v>326</v>
      </c>
      <c r="G46">
        <f>IF(A46="","",A46)</f>
        <v>2367</v>
      </c>
      <c r="H46" t="str">
        <f>_xlfn.CONCAT(D46,SUBSTITUTE(B46,"""","`"""),E46)</f>
        <v>`     Can be use to pay graduation fee using GLoan</v>
      </c>
      <c r="I46" t="s">
        <v>522</v>
      </c>
      <c r="J46" t="str">
        <f>_xlfn.CONCAT(I46,H46)</f>
        <v>&lt;G1P&gt;`     Can be use to pay graduation fee using GLoan</v>
      </c>
    </row>
    <row r="47" spans="1:10" x14ac:dyDescent="0.25">
      <c r="A47" s="173">
        <v>2376</v>
      </c>
      <c r="B47" s="172" t="s">
        <v>1096</v>
      </c>
      <c r="C47" t="s">
        <v>16</v>
      </c>
      <c r="D47" t="s">
        <v>318</v>
      </c>
      <c r="F47" t="s">
        <v>326</v>
      </c>
      <c r="G47">
        <f>IF(A47="","",A47)</f>
        <v>2376</v>
      </c>
      <c r="H47" t="str">
        <f>_xlfn.CONCAT(D47,SUBSTITUTE(B47,"""","`"""),E47)</f>
        <v>`     Can loan to pay for tuition fee</v>
      </c>
      <c r="I47" t="s">
        <v>521</v>
      </c>
      <c r="J47" t="str">
        <f>_xlfn.CONCAT(I47,H47)</f>
        <v>&lt;G2E&gt;&lt;G1P&gt;`     Can loan to pay for tuition fee</v>
      </c>
    </row>
    <row r="48" spans="1:10" ht="15.75" x14ac:dyDescent="0.25">
      <c r="A48" s="170">
        <v>2358</v>
      </c>
      <c r="B48" s="174" t="s">
        <v>999</v>
      </c>
      <c r="C48" t="s">
        <v>6</v>
      </c>
      <c r="D48" t="s">
        <v>323</v>
      </c>
      <c r="E48" t="s">
        <v>322</v>
      </c>
      <c r="F48" t="s">
        <v>327</v>
      </c>
      <c r="G48">
        <f>IF(A48="","",A48)</f>
        <v>2358</v>
      </c>
      <c r="H48" t="str">
        <f>_xlfn.CONCAT(D48,SUBSTITUTE(B48,"""","`"""),E48)</f>
        <v>`CAN GET LOAN FAST FROM GCASH (NET)&lt;Q&gt;</v>
      </c>
      <c r="J48" t="str">
        <f>_xlfn.CONCAT(I48,H48)</f>
        <v>`CAN GET LOAN FAST FROM GCASH (NET)&lt;Q&gt;</v>
      </c>
    </row>
    <row r="49" spans="1:10" x14ac:dyDescent="0.25">
      <c r="A49" s="173">
        <v>2358</v>
      </c>
      <c r="B49" s="172" t="s">
        <v>1000</v>
      </c>
      <c r="C49" t="s">
        <v>16</v>
      </c>
      <c r="D49" t="s">
        <v>318</v>
      </c>
      <c r="F49" t="s">
        <v>326</v>
      </c>
      <c r="G49">
        <f>IF(A49="","",A49)</f>
        <v>2358</v>
      </c>
      <c r="H49" t="str">
        <f>_xlfn.CONCAT(D49,SUBSTITUTE(B49,"""","`"""),E49)</f>
        <v>`     Can get loan fast from GCash</v>
      </c>
      <c r="I49" t="s">
        <v>522</v>
      </c>
      <c r="J49" t="str">
        <f>_xlfn.CONCAT(I49,H49)</f>
        <v>&lt;G1P&gt;`     Can get loan fast from GCash</v>
      </c>
    </row>
    <row r="50" spans="1:10" ht="15.75" x14ac:dyDescent="0.25">
      <c r="A50" s="170" t="s">
        <v>1151</v>
      </c>
      <c r="B50" s="174" t="s">
        <v>1097</v>
      </c>
      <c r="C50" t="s">
        <v>6</v>
      </c>
      <c r="D50" t="s">
        <v>323</v>
      </c>
      <c r="E50" t="s">
        <v>322</v>
      </c>
      <c r="F50" t="s">
        <v>327</v>
      </c>
      <c r="G50" t="str">
        <f>IF(A50="","",A50)</f>
        <v>2321+2352+2370+2375</v>
      </c>
      <c r="H50" t="str">
        <f>_xlfn.CONCAT(D50,SUBSTITUTE(B50,"""","`"""),E50)</f>
        <v>`CAN LOAN IN TIMES OF EMERGENCY (NET)&lt;Q&gt;</v>
      </c>
      <c r="J50" t="str">
        <f>_xlfn.CONCAT(I50,H50)</f>
        <v>`CAN LOAN IN TIMES OF EMERGENCY (NET)&lt;Q&gt;</v>
      </c>
    </row>
    <row r="51" spans="1:10" x14ac:dyDescent="0.25">
      <c r="A51" s="170">
        <v>2321</v>
      </c>
      <c r="B51" s="167" t="s">
        <v>1098</v>
      </c>
      <c r="C51" t="s">
        <v>16</v>
      </c>
      <c r="D51" t="s">
        <v>318</v>
      </c>
      <c r="F51" t="s">
        <v>326</v>
      </c>
      <c r="G51">
        <f>IF(A51="","",A51)</f>
        <v>2321</v>
      </c>
      <c r="H51" t="str">
        <f>_xlfn.CONCAT(D51,SUBSTITUTE(B51,"""","`"""),E51)</f>
        <v>`     Can loan in times of emergency</v>
      </c>
      <c r="I51" t="s">
        <v>520</v>
      </c>
      <c r="J51" t="str">
        <f>_xlfn.CONCAT(I51,H51)</f>
        <v>&lt;G2B&gt;&lt;G1P&gt;`     Can loan in times of emergency</v>
      </c>
    </row>
    <row r="52" spans="1:10" x14ac:dyDescent="0.25">
      <c r="A52" s="173">
        <v>2352</v>
      </c>
      <c r="B52" s="172" t="s">
        <v>1099</v>
      </c>
      <c r="C52" t="s">
        <v>16</v>
      </c>
      <c r="D52" t="s">
        <v>318</v>
      </c>
      <c r="F52" t="s">
        <v>326</v>
      </c>
      <c r="G52">
        <f>IF(A52="","",A52)</f>
        <v>2352</v>
      </c>
      <c r="H52" t="str">
        <f>_xlfn.CONCAT(D52,SUBSTITUTE(B52,"""","`"""),E52)</f>
        <v>`     Can loan in times of need</v>
      </c>
      <c r="I52" t="s">
        <v>522</v>
      </c>
      <c r="J52" t="str">
        <f>_xlfn.CONCAT(I52,H52)</f>
        <v>&lt;G1P&gt;`     Can loan in times of need</v>
      </c>
    </row>
    <row r="53" spans="1:10" x14ac:dyDescent="0.25">
      <c r="A53" s="173">
        <v>2370</v>
      </c>
      <c r="B53" s="172" t="s">
        <v>1100</v>
      </c>
      <c r="C53" t="s">
        <v>16</v>
      </c>
      <c r="D53" t="s">
        <v>318</v>
      </c>
      <c r="F53" t="s">
        <v>326</v>
      </c>
      <c r="G53">
        <f>IF(A53="","",A53)</f>
        <v>2370</v>
      </c>
      <c r="H53" t="str">
        <f>_xlfn.CONCAT(D53,SUBSTITUTE(B53,"""","`"""),E53)</f>
        <v>`     Gcash can help in sudden expenses</v>
      </c>
      <c r="I53" t="s">
        <v>522</v>
      </c>
      <c r="J53" t="str">
        <f>_xlfn.CONCAT(I53,H53)</f>
        <v>&lt;G1P&gt;`     Gcash can help in sudden expenses</v>
      </c>
    </row>
    <row r="54" spans="1:10" x14ac:dyDescent="0.25">
      <c r="A54" s="173">
        <v>2375</v>
      </c>
      <c r="B54" s="172" t="s">
        <v>1101</v>
      </c>
      <c r="C54" t="s">
        <v>16</v>
      </c>
      <c r="D54" t="s">
        <v>318</v>
      </c>
      <c r="F54" t="s">
        <v>326</v>
      </c>
      <c r="G54">
        <f>IF(A54="","",A54)</f>
        <v>2375</v>
      </c>
      <c r="H54" t="str">
        <f>_xlfn.CONCAT(D54,SUBSTITUTE(B54,"""","`"""),E54)</f>
        <v>`     Can loan on GCash in case of emergency</v>
      </c>
      <c r="I54" t="s">
        <v>521</v>
      </c>
      <c r="J54" t="str">
        <f>_xlfn.CONCAT(I54,H54)</f>
        <v>&lt;G2E&gt;&lt;G1P&gt;`     Can loan on GCash in case of emergency</v>
      </c>
    </row>
    <row r="55" spans="1:10" ht="15.75" x14ac:dyDescent="0.25">
      <c r="A55" s="170" t="s">
        <v>1508</v>
      </c>
      <c r="B55" s="174" t="s">
        <v>1026</v>
      </c>
      <c r="C55" t="s">
        <v>6</v>
      </c>
      <c r="D55" t="s">
        <v>323</v>
      </c>
      <c r="E55" t="s">
        <v>322</v>
      </c>
      <c r="F55" t="s">
        <v>327</v>
      </c>
      <c r="G55" t="str">
        <f>IF(A55="","",A55)</f>
        <v>2322+2344+2401</v>
      </c>
      <c r="H55" t="str">
        <f>_xlfn.CONCAT(D55,SUBSTITUTE(B55,"""","`"""),E55)</f>
        <v>`ABOUT LOAN (NET)&lt;Q&gt;</v>
      </c>
      <c r="J55" t="str">
        <f>_xlfn.CONCAT(I55,H55)</f>
        <v>`ABOUT LOAN (NET)&lt;Q&gt;</v>
      </c>
    </row>
    <row r="56" spans="1:10" x14ac:dyDescent="0.25">
      <c r="A56" s="170">
        <v>2322</v>
      </c>
      <c r="B56" s="167" t="s">
        <v>1027</v>
      </c>
      <c r="C56" t="s">
        <v>16</v>
      </c>
      <c r="D56" t="s">
        <v>318</v>
      </c>
      <c r="F56" t="s">
        <v>326</v>
      </c>
      <c r="G56">
        <f>IF(A56="","",A56)</f>
        <v>2322</v>
      </c>
      <c r="H56" t="str">
        <f>_xlfn.CONCAT(D56,SUBSTITUTE(B56,"""","`"""),E56)</f>
        <v>`     About loan</v>
      </c>
      <c r="I56" t="s">
        <v>520</v>
      </c>
      <c r="J56" t="str">
        <f>_xlfn.CONCAT(I56,H56)</f>
        <v>&lt;G2B&gt;&lt;G1P&gt;`     About loan</v>
      </c>
    </row>
    <row r="57" spans="1:10" x14ac:dyDescent="0.25">
      <c r="A57" s="173">
        <v>2344</v>
      </c>
      <c r="B57" s="172" t="s">
        <v>1102</v>
      </c>
      <c r="C57" t="s">
        <v>16</v>
      </c>
      <c r="D57" t="s">
        <v>318</v>
      </c>
      <c r="F57" t="s">
        <v>326</v>
      </c>
      <c r="G57">
        <f>IF(A57="","",A57)</f>
        <v>2344</v>
      </c>
      <c r="H57" t="str">
        <f>_xlfn.CONCAT(D57,SUBSTITUTE(B57,"""","`"""),E57)</f>
        <v>`     Can loan</v>
      </c>
      <c r="I57" t="s">
        <v>522</v>
      </c>
      <c r="J57" t="str">
        <f>_xlfn.CONCAT(I57,H57)</f>
        <v>&lt;G1P&gt;`     Can loan</v>
      </c>
    </row>
    <row r="58" spans="1:10" x14ac:dyDescent="0.25">
      <c r="A58" s="180">
        <v>2401</v>
      </c>
      <c r="B58" s="179" t="s">
        <v>1104</v>
      </c>
      <c r="C58" t="s">
        <v>16</v>
      </c>
      <c r="D58" t="s">
        <v>318</v>
      </c>
      <c r="F58" t="s">
        <v>326</v>
      </c>
      <c r="G58">
        <f>IF(A58="","",A58)</f>
        <v>2401</v>
      </c>
      <c r="H58" t="str">
        <f>_xlfn.CONCAT(D58,SUBSTITUTE(B58,"""","`"""),E58)</f>
        <v>`     Can loan online</v>
      </c>
      <c r="I58" t="s">
        <v>521</v>
      </c>
      <c r="J58" t="str">
        <f>_xlfn.CONCAT(I58,H58)</f>
        <v>&lt;G2E&gt;&lt;G1P&gt;`     Can loan online</v>
      </c>
    </row>
    <row r="59" spans="1:10" ht="15.75" x14ac:dyDescent="0.25">
      <c r="A59" s="170">
        <v>2408</v>
      </c>
      <c r="B59" s="174" t="s">
        <v>1105</v>
      </c>
      <c r="C59" t="s">
        <v>6</v>
      </c>
      <c r="D59" t="s">
        <v>323</v>
      </c>
      <c r="E59" t="s">
        <v>322</v>
      </c>
      <c r="F59" t="s">
        <v>327</v>
      </c>
      <c r="G59">
        <f>IF(A59="","",A59)</f>
        <v>2408</v>
      </c>
      <c r="H59" t="str">
        <f>_xlfn.CONCAT(D59,SUBSTITUTE(B59,"""","`"""),E59)</f>
        <v>`MENTIONS OF GCREDIT (NET)&lt;Q&gt;</v>
      </c>
      <c r="J59" t="str">
        <f>_xlfn.CONCAT(I59,H59)</f>
        <v>`MENTIONS OF GCREDIT (NET)&lt;Q&gt;</v>
      </c>
    </row>
    <row r="60" spans="1:10" x14ac:dyDescent="0.25">
      <c r="A60" s="180">
        <v>2408</v>
      </c>
      <c r="B60" s="179" t="s">
        <v>1106</v>
      </c>
      <c r="C60" t="s">
        <v>16</v>
      </c>
      <c r="D60" t="s">
        <v>318</v>
      </c>
      <c r="F60" t="s">
        <v>326</v>
      </c>
      <c r="G60">
        <f>IF(A60="","",A60)</f>
        <v>2408</v>
      </c>
      <c r="H60" t="str">
        <f>_xlfn.CONCAT(D60,SUBSTITUTE(B60,"""","`"""),E60)</f>
        <v>`     Has Gcredit</v>
      </c>
      <c r="I60" t="s">
        <v>522</v>
      </c>
      <c r="J60" t="str">
        <f>_xlfn.CONCAT(I60,H60)</f>
        <v>&lt;G1P&gt;`     Has Gcredit</v>
      </c>
    </row>
    <row r="61" spans="1:10" ht="15.75" x14ac:dyDescent="0.25">
      <c r="A61" s="170" t="s">
        <v>1509</v>
      </c>
      <c r="B61" s="174" t="s">
        <v>976</v>
      </c>
      <c r="C61" t="s">
        <v>6</v>
      </c>
      <c r="D61" t="s">
        <v>323</v>
      </c>
      <c r="E61" t="s">
        <v>322</v>
      </c>
      <c r="F61" t="s">
        <v>327</v>
      </c>
      <c r="G61" t="str">
        <f>IF(A61="","",A61)</f>
        <v>2323+2329+2350+2385</v>
      </c>
      <c r="H61" t="str">
        <f>_xlfn.CONCAT(D61,SUBSTITUTE(B61,"""","`"""),E61)</f>
        <v>`MENTIONS OF GLOAN (NET)&lt;Q&gt;</v>
      </c>
      <c r="J61" t="str">
        <f>_xlfn.CONCAT(I61,H61)</f>
        <v>`MENTIONS OF GLOAN (NET)&lt;Q&gt;</v>
      </c>
    </row>
    <row r="62" spans="1:10" x14ac:dyDescent="0.25">
      <c r="A62" s="170">
        <v>2323</v>
      </c>
      <c r="B62" s="167" t="s">
        <v>977</v>
      </c>
      <c r="C62" t="s">
        <v>16</v>
      </c>
      <c r="D62" t="s">
        <v>318</v>
      </c>
      <c r="F62" t="s">
        <v>326</v>
      </c>
      <c r="G62">
        <f>IF(A62="","",A62)</f>
        <v>2323</v>
      </c>
      <c r="H62" t="str">
        <f>_xlfn.CONCAT(D62,SUBSTITUTE(B62,"""","`"""),E62)</f>
        <v>`     GLoan</v>
      </c>
      <c r="I62" t="s">
        <v>520</v>
      </c>
      <c r="J62" t="str">
        <f>_xlfn.CONCAT(I62,H62)</f>
        <v>&lt;G2B&gt;&lt;G1P&gt;`     GLoan</v>
      </c>
    </row>
    <row r="63" spans="1:10" x14ac:dyDescent="0.25">
      <c r="A63" s="173">
        <v>2329</v>
      </c>
      <c r="B63" s="172" t="s">
        <v>980</v>
      </c>
      <c r="C63" t="s">
        <v>16</v>
      </c>
      <c r="D63" t="s">
        <v>318</v>
      </c>
      <c r="F63" t="s">
        <v>326</v>
      </c>
      <c r="G63">
        <f>IF(A63="","",A63)</f>
        <v>2329</v>
      </c>
      <c r="H63" t="str">
        <f>_xlfn.CONCAT(D63,SUBSTITUTE(B63,"""","`"""),E63)</f>
        <v>`     GLoan on GCash</v>
      </c>
      <c r="I63" t="s">
        <v>522</v>
      </c>
      <c r="J63" t="str">
        <f>_xlfn.CONCAT(I63,H63)</f>
        <v>&lt;G1P&gt;`     GLoan on GCash</v>
      </c>
    </row>
    <row r="64" spans="1:10" x14ac:dyDescent="0.25">
      <c r="A64" s="173">
        <v>2350</v>
      </c>
      <c r="B64" s="172" t="s">
        <v>984</v>
      </c>
      <c r="C64" t="s">
        <v>16</v>
      </c>
      <c r="D64" t="s">
        <v>318</v>
      </c>
      <c r="F64" t="s">
        <v>326</v>
      </c>
      <c r="G64">
        <f>IF(A64="","",A64)</f>
        <v>2350</v>
      </c>
      <c r="H64" t="str">
        <f>_xlfn.CONCAT(D64,SUBSTITUTE(B64,"""","`"""),E64)</f>
        <v>`     Can loan on GCash using GLoan</v>
      </c>
      <c r="I64" t="s">
        <v>522</v>
      </c>
      <c r="J64" t="str">
        <f>_xlfn.CONCAT(I64,H64)</f>
        <v>&lt;G1P&gt;`     Can loan on GCash using GLoan</v>
      </c>
    </row>
    <row r="65" spans="1:10" x14ac:dyDescent="0.25">
      <c r="A65" s="176">
        <v>2385</v>
      </c>
      <c r="B65" s="175" t="s">
        <v>1501</v>
      </c>
      <c r="C65" t="s">
        <v>16</v>
      </c>
      <c r="D65" t="s">
        <v>318</v>
      </c>
      <c r="F65" t="s">
        <v>326</v>
      </c>
      <c r="G65">
        <f>IF(A65="","",A65)</f>
        <v>2385</v>
      </c>
      <c r="H65" t="str">
        <f>_xlfn.CONCAT(D65,SUBSTITUTE(B65,"""","`"""),E65)</f>
        <v>`     Kaya today with Gloan</v>
      </c>
      <c r="I65" t="s">
        <v>521</v>
      </c>
      <c r="J65" t="str">
        <f>_xlfn.CONCAT(I65,H65)</f>
        <v>&lt;G2E&gt;&lt;G1P&gt;`     Kaya today with Gloan</v>
      </c>
    </row>
    <row r="66" spans="1:10" ht="15.75" x14ac:dyDescent="0.25">
      <c r="A66" s="170">
        <v>2398</v>
      </c>
      <c r="B66" s="174" t="s">
        <v>1380</v>
      </c>
      <c r="C66" t="s">
        <v>6</v>
      </c>
      <c r="D66" t="s">
        <v>323</v>
      </c>
      <c r="E66" t="s">
        <v>322</v>
      </c>
      <c r="F66" t="s">
        <v>327</v>
      </c>
      <c r="G66">
        <f>IF(A66="","",A66)</f>
        <v>2398</v>
      </c>
      <c r="H66" t="str">
        <f>_xlfn.CONCAT(D66,SUBSTITUTE(B66,"""","`"""),E66)</f>
        <v>`LOAN AMOUNT (NET)&lt;Q&gt;</v>
      </c>
      <c r="J66" t="str">
        <f>_xlfn.CONCAT(I66,H66)</f>
        <v>`LOAN AMOUNT (NET)&lt;Q&gt;</v>
      </c>
    </row>
    <row r="67" spans="1:10" x14ac:dyDescent="0.25">
      <c r="A67" s="180">
        <v>2398</v>
      </c>
      <c r="B67" s="179" t="s">
        <v>1112</v>
      </c>
      <c r="C67" t="s">
        <v>16</v>
      </c>
      <c r="D67" t="s">
        <v>318</v>
      </c>
      <c r="F67" t="s">
        <v>326</v>
      </c>
      <c r="G67">
        <f>IF(A67="","",A67)</f>
        <v>2398</v>
      </c>
      <c r="H67" t="str">
        <f>_xlfn.CONCAT(D67,SUBSTITUTE(B67,"""","`"""),E67)</f>
        <v>`     Can loan up to 50K on GLoan</v>
      </c>
      <c r="I67" t="s">
        <v>522</v>
      </c>
      <c r="J67" t="str">
        <f>_xlfn.CONCAT(I67,H67)</f>
        <v>&lt;G1P&gt;`     Can loan up to 50K on GLoan</v>
      </c>
    </row>
    <row r="68" spans="1:10" ht="15.75" x14ac:dyDescent="0.25">
      <c r="A68" s="170" t="s">
        <v>1510</v>
      </c>
      <c r="B68" s="174" t="s">
        <v>1502</v>
      </c>
      <c r="C68" t="s">
        <v>6</v>
      </c>
      <c r="D68" t="s">
        <v>323</v>
      </c>
      <c r="E68" t="s">
        <v>322</v>
      </c>
      <c r="F68" t="s">
        <v>327</v>
      </c>
      <c r="G68" t="str">
        <f>IF(A68="","",A68)</f>
        <v>2386+2383</v>
      </c>
      <c r="H68" t="str">
        <f>_xlfn.CONCAT(D68,SUBSTITUTE(B68,"""","`"""),E68)</f>
        <v>`CAN GET INSTANT LOAN IN GLOAN (NET)&lt;Q&gt;</v>
      </c>
      <c r="J68" t="str">
        <f>_xlfn.CONCAT(I68,H68)</f>
        <v>`CAN GET INSTANT LOAN IN GLOAN (NET)&lt;Q&gt;</v>
      </c>
    </row>
    <row r="69" spans="1:10" x14ac:dyDescent="0.25">
      <c r="A69" s="176">
        <v>2386</v>
      </c>
      <c r="B69" s="175" t="s">
        <v>1110</v>
      </c>
      <c r="C69" t="s">
        <v>16</v>
      </c>
      <c r="D69" t="s">
        <v>318</v>
      </c>
      <c r="F69" t="s">
        <v>326</v>
      </c>
      <c r="G69">
        <f>IF(A69="","",A69)</f>
        <v>2386</v>
      </c>
      <c r="H69" t="str">
        <f>_xlfn.CONCAT(D69,SUBSTITUTE(B69,"""","`"""),E69)</f>
        <v>`     Fast GLoan for sudden expenses</v>
      </c>
      <c r="I69" t="s">
        <v>520</v>
      </c>
      <c r="J69" t="str">
        <f>_xlfn.CONCAT(I69,H69)</f>
        <v>&lt;G2B&gt;&lt;G1P&gt;`     Fast GLoan for sudden expenses</v>
      </c>
    </row>
    <row r="70" spans="1:10" x14ac:dyDescent="0.25">
      <c r="A70" s="176">
        <v>2383</v>
      </c>
      <c r="B70" s="175" t="s">
        <v>1108</v>
      </c>
      <c r="C70" t="s">
        <v>16</v>
      </c>
      <c r="D70" t="s">
        <v>318</v>
      </c>
      <c r="F70" t="s">
        <v>326</v>
      </c>
      <c r="G70">
        <f>IF(A70="","",A70)</f>
        <v>2383</v>
      </c>
      <c r="H70" t="str">
        <f>_xlfn.CONCAT(D70,SUBSTITUTE(B70,"""","`"""),E70)</f>
        <v>`     GLoan instant loan</v>
      </c>
      <c r="I70" t="s">
        <v>521</v>
      </c>
      <c r="J70" t="str">
        <f>_xlfn.CONCAT(I70,H70)</f>
        <v>&lt;G2E&gt;&lt;G1P&gt;`     GLoan instant loan</v>
      </c>
    </row>
    <row r="71" spans="1:10" ht="31.5" x14ac:dyDescent="0.25">
      <c r="A71" s="170" t="s">
        <v>1511</v>
      </c>
      <c r="B71" s="174" t="s">
        <v>1503</v>
      </c>
      <c r="C71" t="s">
        <v>6</v>
      </c>
      <c r="D71" t="s">
        <v>323</v>
      </c>
      <c r="E71" t="s">
        <v>322</v>
      </c>
      <c r="F71" t="s">
        <v>327</v>
      </c>
      <c r="G71" t="str">
        <f>IF(A71="","",A71)</f>
        <v>2382+2384+2387+2400</v>
      </c>
      <c r="H71" t="str">
        <f>_xlfn.CONCAT(D71,SUBSTITUTE(B71,"""","`"""),E71)</f>
        <v>`CAN GET A LOAN FROM GLOAN TO PAY FOR EXPENSES OR AUGMENT INCOME (NET)&lt;Q&gt;</v>
      </c>
      <c r="J71" t="str">
        <f>_xlfn.CONCAT(I71,H71)</f>
        <v>`CAN GET A LOAN FROM GLOAN TO PAY FOR EXPENSES OR AUGMENT INCOME (NET)&lt;Q&gt;</v>
      </c>
    </row>
    <row r="72" spans="1:10" x14ac:dyDescent="0.25">
      <c r="A72" s="176">
        <v>2382</v>
      </c>
      <c r="B72" s="175" t="s">
        <v>1107</v>
      </c>
      <c r="C72" t="s">
        <v>16</v>
      </c>
      <c r="D72" t="s">
        <v>318</v>
      </c>
      <c r="F72" t="s">
        <v>326</v>
      </c>
      <c r="G72">
        <f>IF(A72="","",A72)</f>
        <v>2382</v>
      </c>
      <c r="H72" t="str">
        <f>_xlfn.CONCAT(D72,SUBSTITUTE(B72,"""","`"""),E72)</f>
        <v>`     GLoan if you have financial problems</v>
      </c>
      <c r="I72" t="s">
        <v>520</v>
      </c>
      <c r="J72" t="str">
        <f>_xlfn.CONCAT(I72,H72)</f>
        <v>&lt;G2B&gt;&lt;G1P&gt;`     GLoan if you have financial problems</v>
      </c>
    </row>
    <row r="73" spans="1:10" x14ac:dyDescent="0.25">
      <c r="A73" s="176">
        <v>2384</v>
      </c>
      <c r="B73" s="175" t="s">
        <v>1109</v>
      </c>
      <c r="C73" t="s">
        <v>16</v>
      </c>
      <c r="D73" t="s">
        <v>318</v>
      </c>
      <c r="F73" t="s">
        <v>326</v>
      </c>
      <c r="G73">
        <f>IF(A73="","",A73)</f>
        <v>2384</v>
      </c>
      <c r="H73" t="str">
        <f>_xlfn.CONCAT(D73,SUBSTITUTE(B73,"""","`"""),E73)</f>
        <v>`     When spending expenses at the same time you can GLoan</v>
      </c>
      <c r="I73" t="s">
        <v>522</v>
      </c>
      <c r="J73" t="str">
        <f>_xlfn.CONCAT(I73,H73)</f>
        <v>&lt;G1P&gt;`     When spending expenses at the same time you can GLoan</v>
      </c>
    </row>
    <row r="74" spans="1:10" x14ac:dyDescent="0.25">
      <c r="A74" s="176">
        <v>2387</v>
      </c>
      <c r="B74" s="175" t="s">
        <v>1111</v>
      </c>
      <c r="C74" t="s">
        <v>16</v>
      </c>
      <c r="D74" t="s">
        <v>318</v>
      </c>
      <c r="F74" t="s">
        <v>326</v>
      </c>
      <c r="G74">
        <f>IF(A74="","",A74)</f>
        <v>2387</v>
      </c>
      <c r="H74" t="str">
        <f>_xlfn.CONCAT(D74,SUBSTITUTE(B74,"""","`"""),E74)</f>
        <v>`     Need funds use GLoan</v>
      </c>
      <c r="I74" t="s">
        <v>522</v>
      </c>
      <c r="J74" t="str">
        <f>_xlfn.CONCAT(I74,H74)</f>
        <v>&lt;G1P&gt;`     Need funds use GLoan</v>
      </c>
    </row>
    <row r="75" spans="1:10" x14ac:dyDescent="0.25">
      <c r="A75" s="180">
        <v>2400</v>
      </c>
      <c r="B75" s="179" t="s">
        <v>1143</v>
      </c>
      <c r="C75" t="s">
        <v>16</v>
      </c>
      <c r="D75" t="s">
        <v>318</v>
      </c>
      <c r="F75" t="s">
        <v>326</v>
      </c>
      <c r="G75">
        <f>IF(A75="","",A75)</f>
        <v>2400</v>
      </c>
      <c r="H75" t="str">
        <f>_xlfn.CONCAT(D75,SUBSTITUTE(B75,"""","`"""),E75)</f>
        <v>`     Can loan from GCash for your home expenses</v>
      </c>
      <c r="I75" t="s">
        <v>521</v>
      </c>
      <c r="J75" t="str">
        <f>_xlfn.CONCAT(I75,H75)</f>
        <v>&lt;G2E&gt;&lt;G1P&gt;`     Can loan from GCash for your home expenses</v>
      </c>
    </row>
    <row r="76" spans="1:10" ht="15.75" x14ac:dyDescent="0.25">
      <c r="A76" s="170" t="s">
        <v>1152</v>
      </c>
      <c r="B76" s="174" t="s">
        <v>1115</v>
      </c>
      <c r="C76" t="s">
        <v>6</v>
      </c>
      <c r="D76" t="s">
        <v>323</v>
      </c>
      <c r="E76" t="s">
        <v>322</v>
      </c>
      <c r="F76" t="s">
        <v>327</v>
      </c>
      <c r="G76" t="str">
        <f>IF(A76="","",A76)</f>
        <v>2324+2380</v>
      </c>
      <c r="H76" t="str">
        <f>_xlfn.CONCAT(D76,SUBSTITUTE(B76,"""","`"""),E76)</f>
        <v>`CAN USE GCASH FOR PAYMENT (NET)&lt;Q&gt;</v>
      </c>
      <c r="J76" t="str">
        <f>_xlfn.CONCAT(I76,H76)</f>
        <v>`CAN USE GCASH FOR PAYMENT (NET)&lt;Q&gt;</v>
      </c>
    </row>
    <row r="77" spans="1:10" x14ac:dyDescent="0.25">
      <c r="A77" s="170">
        <v>2324</v>
      </c>
      <c r="B77" s="167" t="s">
        <v>1116</v>
      </c>
      <c r="C77" t="s">
        <v>16</v>
      </c>
      <c r="D77" t="s">
        <v>318</v>
      </c>
      <c r="F77" t="s">
        <v>326</v>
      </c>
      <c r="G77">
        <f>IF(A77="","",A77)</f>
        <v>2324</v>
      </c>
      <c r="H77" t="str">
        <f>_xlfn.CONCAT(D77,SUBSTITUTE(B77,"""","`"""),E77)</f>
        <v>`     Can use GCash for payment anywhere</v>
      </c>
      <c r="I77" t="s">
        <v>520</v>
      </c>
      <c r="J77" t="str">
        <f>_xlfn.CONCAT(I77,H77)</f>
        <v>&lt;G2B&gt;&lt;G1P&gt;`     Can use GCash for payment anywhere</v>
      </c>
    </row>
    <row r="78" spans="1:10" x14ac:dyDescent="0.25">
      <c r="A78" s="176">
        <v>2380</v>
      </c>
      <c r="B78" s="175" t="s">
        <v>1117</v>
      </c>
      <c r="C78" t="s">
        <v>16</v>
      </c>
      <c r="D78" t="s">
        <v>318</v>
      </c>
      <c r="F78" t="s">
        <v>326</v>
      </c>
      <c r="G78">
        <f>IF(A78="","",A78)</f>
        <v>2380</v>
      </c>
      <c r="H78" t="str">
        <f>_xlfn.CONCAT(D78,SUBSTITUTE(B78,"""","`"""),E78)</f>
        <v>`     Fast Payment</v>
      </c>
      <c r="I78" t="s">
        <v>521</v>
      </c>
      <c r="J78" t="str">
        <f>_xlfn.CONCAT(I78,H78)</f>
        <v>&lt;G2E&gt;&lt;G1P&gt;`     Fast Payment</v>
      </c>
    </row>
    <row r="79" spans="1:10" ht="15.75" x14ac:dyDescent="0.25">
      <c r="A79" s="170" t="s">
        <v>1512</v>
      </c>
      <c r="B79" s="174" t="s">
        <v>1118</v>
      </c>
      <c r="C79" t="s">
        <v>6</v>
      </c>
      <c r="D79" t="s">
        <v>323</v>
      </c>
      <c r="E79" t="s">
        <v>322</v>
      </c>
      <c r="F79" t="s">
        <v>327</v>
      </c>
      <c r="G79" t="str">
        <f>IF(A79="","",A79)</f>
        <v>2325+2326+2388+2394+2391</v>
      </c>
      <c r="H79" t="str">
        <f>_xlfn.CONCAT(D79,SUBSTITUTE(B79,"""","`"""),E79)</f>
        <v>`MAKES LIFE EASIER (NET)&lt;Q&gt;</v>
      </c>
      <c r="J79" t="str">
        <f>_xlfn.CONCAT(I79,H79)</f>
        <v>`MAKES LIFE EASIER (NET)&lt;Q&gt;</v>
      </c>
    </row>
    <row r="80" spans="1:10" x14ac:dyDescent="0.25">
      <c r="A80" s="170">
        <v>2325</v>
      </c>
      <c r="B80" s="167" t="s">
        <v>1119</v>
      </c>
      <c r="C80" t="s">
        <v>16</v>
      </c>
      <c r="D80" t="s">
        <v>318</v>
      </c>
      <c r="F80" t="s">
        <v>326</v>
      </c>
      <c r="G80">
        <f>IF(A80="","",A80)</f>
        <v>2325</v>
      </c>
      <c r="H80" t="str">
        <f>_xlfn.CONCAT(D80,SUBSTITUTE(B80,"""","`"""),E80)</f>
        <v>`     Like the ad because it makes life easier</v>
      </c>
      <c r="I80" t="s">
        <v>520</v>
      </c>
      <c r="J80" t="str">
        <f>_xlfn.CONCAT(I80,H80)</f>
        <v>&lt;G2B&gt;&lt;G1P&gt;`     Like the ad because it makes life easier</v>
      </c>
    </row>
    <row r="81" spans="1:10" x14ac:dyDescent="0.25">
      <c r="A81" s="170">
        <v>2326</v>
      </c>
      <c r="B81" s="167" t="s">
        <v>1120</v>
      </c>
      <c r="C81" t="s">
        <v>16</v>
      </c>
      <c r="D81" t="s">
        <v>318</v>
      </c>
      <c r="F81" t="s">
        <v>326</v>
      </c>
      <c r="G81">
        <f>IF(A81="","",A81)</f>
        <v>2326</v>
      </c>
      <c r="H81" t="str">
        <f>_xlfn.CONCAT(D81,SUBSTITUTE(B81,"""","`"""),E81)</f>
        <v>`     Use GCash to make everyday life easier</v>
      </c>
      <c r="I81" t="s">
        <v>522</v>
      </c>
      <c r="J81" t="str">
        <f>_xlfn.CONCAT(I81,H81)</f>
        <v>&lt;G1P&gt;`     Use GCash to make everyday life easier</v>
      </c>
    </row>
    <row r="82" spans="1:10" x14ac:dyDescent="0.25">
      <c r="A82" s="176">
        <v>2388</v>
      </c>
      <c r="B82" s="175" t="s">
        <v>730</v>
      </c>
      <c r="C82" t="s">
        <v>16</v>
      </c>
      <c r="D82" t="s">
        <v>318</v>
      </c>
      <c r="F82" t="s">
        <v>326</v>
      </c>
      <c r="G82">
        <f>IF(A82="","",A82)</f>
        <v>2388</v>
      </c>
      <c r="H82" t="str">
        <f>_xlfn.CONCAT(D82,SUBSTITUTE(B82,"""","`"""),E82)</f>
        <v>`     Convenient to use</v>
      </c>
      <c r="I82" t="s">
        <v>522</v>
      </c>
      <c r="J82" t="str">
        <f>_xlfn.CONCAT(I82,H82)</f>
        <v>&lt;G1P&gt;`     Convenient to use</v>
      </c>
    </row>
    <row r="83" spans="1:10" x14ac:dyDescent="0.25">
      <c r="A83" s="176">
        <v>2394</v>
      </c>
      <c r="B83" s="175" t="s">
        <v>747</v>
      </c>
      <c r="C83" t="s">
        <v>16</v>
      </c>
      <c r="D83" t="s">
        <v>318</v>
      </c>
      <c r="F83" t="s">
        <v>326</v>
      </c>
      <c r="G83">
        <f>IF(A83="","",A83)</f>
        <v>2394</v>
      </c>
      <c r="H83" t="str">
        <f>_xlfn.CONCAT(D83,SUBSTITUTE(B83,"""","`"""),E83)</f>
        <v>`     No hassle</v>
      </c>
      <c r="I83" t="s">
        <v>522</v>
      </c>
      <c r="J83" t="str">
        <f>_xlfn.CONCAT(I83,H83)</f>
        <v>&lt;G1P&gt;`     No hassle</v>
      </c>
    </row>
    <row r="84" spans="1:10" x14ac:dyDescent="0.25">
      <c r="A84" s="176">
        <v>2391</v>
      </c>
      <c r="B84" s="175" t="s">
        <v>1016</v>
      </c>
      <c r="C84" t="s">
        <v>16</v>
      </c>
      <c r="D84" t="s">
        <v>318</v>
      </c>
      <c r="F84" t="s">
        <v>326</v>
      </c>
      <c r="G84">
        <f>IF(A84="","",A84)</f>
        <v>2391</v>
      </c>
      <c r="H84" t="str">
        <f>_xlfn.CONCAT(D84,SUBSTITUTE(B84,"""","`"""),E84)</f>
        <v>`     Accessible</v>
      </c>
      <c r="I84" t="s">
        <v>521</v>
      </c>
      <c r="J84" t="str">
        <f>_xlfn.CONCAT(I84,H84)</f>
        <v>&lt;G2E&gt;&lt;G1P&gt;`     Accessible</v>
      </c>
    </row>
    <row r="85" spans="1:10" ht="42.75" x14ac:dyDescent="0.25">
      <c r="A85" s="170" t="s">
        <v>1153</v>
      </c>
      <c r="B85" s="174" t="s">
        <v>1007</v>
      </c>
      <c r="C85" t="s">
        <v>6</v>
      </c>
      <c r="D85" t="s">
        <v>323</v>
      </c>
      <c r="E85" t="s">
        <v>322</v>
      </c>
      <c r="F85" t="s">
        <v>327</v>
      </c>
      <c r="G85" t="str">
        <f>IF(A85="","",A85)</f>
        <v>2345+2348+2359+2360+2361+2362+2363+2364+2371+2379+2381+2399</v>
      </c>
      <c r="H85" t="str">
        <f>_xlfn.CONCAT(D85,SUBSTITUTE(B85,"""","`"""),E85)</f>
        <v>`EASE OF PROCESSING (NET)&lt;Q&gt;</v>
      </c>
      <c r="J85" t="str">
        <f>_xlfn.CONCAT(I85,H85)</f>
        <v>`EASE OF PROCESSING (NET)&lt;Q&gt;</v>
      </c>
    </row>
    <row r="86" spans="1:10" x14ac:dyDescent="0.25">
      <c r="A86" s="173">
        <v>2345</v>
      </c>
      <c r="B86" s="172" t="s">
        <v>494</v>
      </c>
      <c r="C86" t="s">
        <v>16</v>
      </c>
      <c r="D86" t="s">
        <v>318</v>
      </c>
      <c r="F86" t="s">
        <v>326</v>
      </c>
      <c r="G86">
        <f>IF(A86="","",A86)</f>
        <v>2345</v>
      </c>
      <c r="H86" t="str">
        <f>_xlfn.CONCAT(D86,SUBSTITUTE(B86,"""","`"""),E86)</f>
        <v>`     Easy to use</v>
      </c>
      <c r="I86" t="s">
        <v>520</v>
      </c>
      <c r="J86" t="str">
        <f>_xlfn.CONCAT(I86,H86)</f>
        <v>&lt;G2B&gt;&lt;G1P&gt;`     Easy to use</v>
      </c>
    </row>
    <row r="87" spans="1:10" x14ac:dyDescent="0.25">
      <c r="A87" s="173">
        <v>2348</v>
      </c>
      <c r="B87" s="172" t="s">
        <v>1121</v>
      </c>
      <c r="C87" t="s">
        <v>16</v>
      </c>
      <c r="D87" t="s">
        <v>318</v>
      </c>
      <c r="F87" t="s">
        <v>326</v>
      </c>
      <c r="G87">
        <f>IF(A87="","",A87)</f>
        <v>2348</v>
      </c>
      <c r="H87" t="str">
        <f>_xlfn.CONCAT(D87,SUBSTITUTE(B87,"""","`"""),E87)</f>
        <v>`     GCash makes transactions easier</v>
      </c>
      <c r="I87" t="s">
        <v>522</v>
      </c>
      <c r="J87" t="str">
        <f>_xlfn.CONCAT(I87,H87)</f>
        <v>&lt;G1P&gt;`     GCash makes transactions easier</v>
      </c>
    </row>
    <row r="88" spans="1:10" x14ac:dyDescent="0.25">
      <c r="A88" s="173">
        <v>2359</v>
      </c>
      <c r="B88" s="172" t="s">
        <v>1122</v>
      </c>
      <c r="C88" t="s">
        <v>16</v>
      </c>
      <c r="D88" t="s">
        <v>318</v>
      </c>
      <c r="F88" t="s">
        <v>326</v>
      </c>
      <c r="G88">
        <f>IF(A88="","",A88)</f>
        <v>2359</v>
      </c>
      <c r="H88" t="str">
        <f>_xlfn.CONCAT(D88,SUBSTITUTE(B88,"""","`"""),E88)</f>
        <v>`     Easy to loan on GCash</v>
      </c>
      <c r="I88" t="s">
        <v>522</v>
      </c>
      <c r="J88" t="str">
        <f>_xlfn.CONCAT(I88,H88)</f>
        <v>&lt;G1P&gt;`     Easy to loan on GCash</v>
      </c>
    </row>
    <row r="89" spans="1:10" x14ac:dyDescent="0.25">
      <c r="A89" s="173">
        <v>2360</v>
      </c>
      <c r="B89" s="172" t="s">
        <v>1123</v>
      </c>
      <c r="C89" t="s">
        <v>16</v>
      </c>
      <c r="D89" t="s">
        <v>318</v>
      </c>
      <c r="F89" t="s">
        <v>326</v>
      </c>
      <c r="G89">
        <f>IF(A89="","",A89)</f>
        <v>2360</v>
      </c>
      <c r="H89" t="str">
        <f>_xlfn.CONCAT(D89,SUBSTITUTE(B89,"""","`"""),E89)</f>
        <v>`     Easy to use in anu occasion</v>
      </c>
      <c r="I89" t="s">
        <v>522</v>
      </c>
      <c r="J89" t="str">
        <f>_xlfn.CONCAT(I89,H89)</f>
        <v>&lt;G1P&gt;`     Easy to use in anu occasion</v>
      </c>
    </row>
    <row r="90" spans="1:10" x14ac:dyDescent="0.25">
      <c r="A90" s="173">
        <v>2361</v>
      </c>
      <c r="B90" s="172" t="s">
        <v>1124</v>
      </c>
      <c r="C90" t="s">
        <v>16</v>
      </c>
      <c r="D90" t="s">
        <v>318</v>
      </c>
      <c r="F90" t="s">
        <v>326</v>
      </c>
      <c r="G90">
        <f>IF(A90="","",A90)</f>
        <v>2361</v>
      </c>
      <c r="H90" t="str">
        <f>_xlfn.CONCAT(D90,SUBSTITUTE(B90,"""","`"""),E90)</f>
        <v>`     Easy to loan</v>
      </c>
      <c r="I90" t="s">
        <v>522</v>
      </c>
      <c r="J90" t="str">
        <f>_xlfn.CONCAT(I90,H90)</f>
        <v>&lt;G1P&gt;`     Easy to loan</v>
      </c>
    </row>
    <row r="91" spans="1:10" x14ac:dyDescent="0.25">
      <c r="A91" s="173">
        <v>2362</v>
      </c>
      <c r="B91" s="172" t="s">
        <v>1125</v>
      </c>
      <c r="C91" t="s">
        <v>16</v>
      </c>
      <c r="D91" t="s">
        <v>318</v>
      </c>
      <c r="F91" t="s">
        <v>326</v>
      </c>
      <c r="G91">
        <f>IF(A91="","",A91)</f>
        <v>2362</v>
      </c>
      <c r="H91" t="str">
        <f>_xlfn.CONCAT(D91,SUBSTITUTE(B91,"""","`"""),E91)</f>
        <v>`     Easy way to loan</v>
      </c>
      <c r="I91" t="s">
        <v>522</v>
      </c>
      <c r="J91" t="str">
        <f>_xlfn.CONCAT(I91,H91)</f>
        <v>&lt;G1P&gt;`     Easy way to loan</v>
      </c>
    </row>
    <row r="92" spans="1:10" x14ac:dyDescent="0.25">
      <c r="A92" s="173">
        <v>2363</v>
      </c>
      <c r="B92" s="172" t="s">
        <v>1126</v>
      </c>
      <c r="C92" t="s">
        <v>16</v>
      </c>
      <c r="D92" t="s">
        <v>318</v>
      </c>
      <c r="F92" t="s">
        <v>326</v>
      </c>
      <c r="G92">
        <f>IF(A92="","",A92)</f>
        <v>2363</v>
      </c>
      <c r="H92" t="str">
        <f>_xlfn.CONCAT(D92,SUBSTITUTE(B92,"""","`"""),E92)</f>
        <v>`     Easy way in case of emergency</v>
      </c>
      <c r="I92" t="s">
        <v>522</v>
      </c>
      <c r="J92" t="str">
        <f>_xlfn.CONCAT(I92,H92)</f>
        <v>&lt;G1P&gt;`     Easy way in case of emergency</v>
      </c>
    </row>
    <row r="93" spans="1:10" x14ac:dyDescent="0.25">
      <c r="A93" s="173">
        <v>2364</v>
      </c>
      <c r="B93" s="172" t="s">
        <v>1008</v>
      </c>
      <c r="C93" t="s">
        <v>16</v>
      </c>
      <c r="D93" t="s">
        <v>318</v>
      </c>
      <c r="F93" t="s">
        <v>326</v>
      </c>
      <c r="G93">
        <f>IF(A93="","",A93)</f>
        <v>2364</v>
      </c>
      <c r="H93" t="str">
        <f>_xlfn.CONCAT(D93,SUBSTITUTE(B93,"""","`"""),E93)</f>
        <v>`     Easy to process</v>
      </c>
      <c r="I93" t="s">
        <v>522</v>
      </c>
      <c r="J93" t="str">
        <f>_xlfn.CONCAT(I93,H93)</f>
        <v>&lt;G1P&gt;`     Easy to process</v>
      </c>
    </row>
    <row r="94" spans="1:10" x14ac:dyDescent="0.25">
      <c r="A94" s="173">
        <v>2371</v>
      </c>
      <c r="B94" s="172" t="s">
        <v>1127</v>
      </c>
      <c r="C94" t="s">
        <v>16</v>
      </c>
      <c r="D94" t="s">
        <v>318</v>
      </c>
      <c r="F94" t="s">
        <v>326</v>
      </c>
      <c r="G94">
        <f>IF(A94="","",A94)</f>
        <v>2371</v>
      </c>
      <c r="H94" t="str">
        <f>_xlfn.CONCAT(D94,SUBSTITUTE(B94,"""","`"""),E94)</f>
        <v>`     Easy to pay using GCash</v>
      </c>
      <c r="I94" t="s">
        <v>522</v>
      </c>
      <c r="J94" t="str">
        <f>_xlfn.CONCAT(I94,H94)</f>
        <v>&lt;G1P&gt;`     Easy to pay using GCash</v>
      </c>
    </row>
    <row r="95" spans="1:10" x14ac:dyDescent="0.25">
      <c r="A95" s="176">
        <v>2379</v>
      </c>
      <c r="B95" s="175" t="s">
        <v>412</v>
      </c>
      <c r="C95" t="s">
        <v>16</v>
      </c>
      <c r="D95" t="s">
        <v>318</v>
      </c>
      <c r="F95" t="s">
        <v>326</v>
      </c>
      <c r="G95">
        <f>IF(A95="","",A95)</f>
        <v>2379</v>
      </c>
      <c r="H95" t="str">
        <f>_xlfn.CONCAT(D95,SUBSTITUTE(B95,"""","`"""),E95)</f>
        <v>`     Fast transaction</v>
      </c>
      <c r="I95" t="s">
        <v>522</v>
      </c>
      <c r="J95" t="str">
        <f>_xlfn.CONCAT(I95,H95)</f>
        <v>&lt;G1P&gt;`     Fast transaction</v>
      </c>
    </row>
    <row r="96" spans="1:10" x14ac:dyDescent="0.25">
      <c r="A96" s="176">
        <v>2381</v>
      </c>
      <c r="B96" s="175" t="s">
        <v>1128</v>
      </c>
      <c r="C96" t="s">
        <v>16</v>
      </c>
      <c r="D96" t="s">
        <v>318</v>
      </c>
      <c r="F96" t="s">
        <v>326</v>
      </c>
      <c r="G96">
        <f>IF(A96="","",A96)</f>
        <v>2381</v>
      </c>
      <c r="H96" t="str">
        <f>_xlfn.CONCAT(D96,SUBSTITUTE(B96,"""","`"""),E96)</f>
        <v>`     Easy to transfer money</v>
      </c>
      <c r="I96" t="s">
        <v>522</v>
      </c>
      <c r="J96" t="str">
        <f>_xlfn.CONCAT(I96,H96)</f>
        <v>&lt;G1P&gt;`     Easy to transfer money</v>
      </c>
    </row>
    <row r="97" spans="1:10" x14ac:dyDescent="0.25">
      <c r="A97" s="180">
        <v>2399</v>
      </c>
      <c r="B97" s="179" t="s">
        <v>1129</v>
      </c>
      <c r="C97" t="s">
        <v>16</v>
      </c>
      <c r="D97" t="s">
        <v>318</v>
      </c>
      <c r="F97" t="s">
        <v>326</v>
      </c>
      <c r="G97">
        <f>IF(A97="","",A97)</f>
        <v>2399</v>
      </c>
      <c r="H97" t="str">
        <f>_xlfn.CONCAT(D97,SUBSTITUTE(B97,"""","`"""),E97)</f>
        <v>`     Easy to cash-out</v>
      </c>
      <c r="I97" t="s">
        <v>521</v>
      </c>
      <c r="J97" t="str">
        <f>_xlfn.CONCAT(I97,H97)</f>
        <v>&lt;G2E&gt;&lt;G1P&gt;`     Easy to cash-out</v>
      </c>
    </row>
    <row r="98" spans="1:10" ht="15.75" x14ac:dyDescent="0.25">
      <c r="A98" s="170">
        <v>2390</v>
      </c>
      <c r="B98" s="174" t="s">
        <v>1002</v>
      </c>
      <c r="C98" t="s">
        <v>6</v>
      </c>
      <c r="D98" t="s">
        <v>323</v>
      </c>
      <c r="E98" t="s">
        <v>322</v>
      </c>
      <c r="F98" t="s">
        <v>327</v>
      </c>
      <c r="G98">
        <f>IF(A98="","",A98)</f>
        <v>2390</v>
      </c>
      <c r="H98" t="str">
        <f>_xlfn.CONCAT(D98,SUBSTITUTE(B98,"""","`"""),E98)</f>
        <v>`LOW INTEREST (NET)&lt;Q&gt;</v>
      </c>
      <c r="J98" t="str">
        <f>_xlfn.CONCAT(I98,H98)</f>
        <v>`LOW INTEREST (NET)&lt;Q&gt;</v>
      </c>
    </row>
    <row r="99" spans="1:10" x14ac:dyDescent="0.25">
      <c r="A99" s="176">
        <v>2390</v>
      </c>
      <c r="B99" s="175" t="s">
        <v>1138</v>
      </c>
      <c r="C99" t="s">
        <v>16</v>
      </c>
      <c r="D99" t="s">
        <v>318</v>
      </c>
      <c r="F99" t="s">
        <v>326</v>
      </c>
      <c r="G99">
        <f>IF(A99="","",A99)</f>
        <v>2390</v>
      </c>
      <c r="H99" t="str">
        <f>_xlfn.CONCAT(D99,SUBSTITUTE(B99,"""","`"""),E99)</f>
        <v>`     Low interest</v>
      </c>
      <c r="I99" t="s">
        <v>522</v>
      </c>
      <c r="J99" t="str">
        <f>_xlfn.CONCAT(I99,H99)</f>
        <v>&lt;G1P&gt;`     Low interest</v>
      </c>
    </row>
    <row r="100" spans="1:10" ht="15.75" x14ac:dyDescent="0.25">
      <c r="A100" s="170" t="s">
        <v>1514</v>
      </c>
      <c r="B100" s="174" t="s">
        <v>415</v>
      </c>
      <c r="C100" t="s">
        <v>6</v>
      </c>
      <c r="D100" t="s">
        <v>323</v>
      </c>
      <c r="E100" t="s">
        <v>322</v>
      </c>
      <c r="F100" t="s">
        <v>327</v>
      </c>
      <c r="G100" t="str">
        <f>IF(A100="","",A100)</f>
        <v>2396+2397</v>
      </c>
      <c r="H100" t="str">
        <f>_xlfn.CONCAT(D100,SUBSTITUTE(B100,"""","`"""),E100)</f>
        <v>`SAFETY AND SECURITY (NET)&lt;Q&gt;</v>
      </c>
      <c r="I100" t="s">
        <v>519</v>
      </c>
      <c r="J100" t="str">
        <f>_xlfn.CONCAT(I100,H100)</f>
        <v>&lt;G1E&gt;`SAFETY AND SECURITY (NET)&lt;Q&gt;</v>
      </c>
    </row>
    <row r="101" spans="1:10" x14ac:dyDescent="0.25">
      <c r="A101" s="176">
        <v>2396</v>
      </c>
      <c r="B101" s="175" t="s">
        <v>1141</v>
      </c>
      <c r="C101" t="s">
        <v>16</v>
      </c>
      <c r="D101" t="s">
        <v>318</v>
      </c>
      <c r="F101" t="s">
        <v>326</v>
      </c>
      <c r="G101">
        <f>IF(A101="","",A101)</f>
        <v>2396</v>
      </c>
      <c r="H101" t="str">
        <f>_xlfn.CONCAT(D101,SUBSTITUTE(B101,"""","`"""),E101)</f>
        <v>`     In GCash you are safe</v>
      </c>
      <c r="I101" t="s">
        <v>520</v>
      </c>
      <c r="J101" t="str">
        <f>_xlfn.CONCAT(I101,H101)</f>
        <v>&lt;G2B&gt;&lt;G1P&gt;`     In GCash you are safe</v>
      </c>
    </row>
    <row r="102" spans="1:10" x14ac:dyDescent="0.25">
      <c r="A102" s="176">
        <v>2397</v>
      </c>
      <c r="B102" s="175" t="s">
        <v>1142</v>
      </c>
      <c r="C102" t="s">
        <v>16</v>
      </c>
      <c r="D102" t="s">
        <v>318</v>
      </c>
      <c r="F102" t="s">
        <v>326</v>
      </c>
      <c r="G102">
        <f>IF(A102="","",A102)</f>
        <v>2397</v>
      </c>
      <c r="H102" t="str">
        <f>_xlfn.CONCAT(D102,SUBSTITUTE(B102,"""","`"""),E102)</f>
        <v>`     Secured celebrating important events</v>
      </c>
      <c r="I102" t="s">
        <v>521</v>
      </c>
      <c r="J102" t="str">
        <f>_xlfn.CONCAT(I102,H102)</f>
        <v>&lt;G2E&gt;&lt;G1P&gt;`     Secured celebrating important events</v>
      </c>
    </row>
    <row r="103" spans="1:10" ht="42.75" x14ac:dyDescent="0.25">
      <c r="A103" s="170" t="s">
        <v>1513</v>
      </c>
      <c r="B103" s="174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>IF(A103="","",A103)</f>
        <v>2327+2328+2340+2341+2365+2366+2368+2373+2374+2377+2403+2404+2405+2395</v>
      </c>
      <c r="H103" t="str">
        <f>_xlfn.CONCAT(D103,SUBSTITUTE(B103,"""","`"""),E103)</f>
        <v>`OTHERS (NET)&lt;Q&gt;</v>
      </c>
      <c r="J103" t="str">
        <f>_xlfn.CONCAT(I103,H103)</f>
        <v>`OTHERS (NET)&lt;Q&gt;</v>
      </c>
    </row>
    <row r="104" spans="1:10" x14ac:dyDescent="0.25">
      <c r="A104" s="170">
        <v>2327</v>
      </c>
      <c r="B104" s="167" t="s">
        <v>776</v>
      </c>
      <c r="C104" t="s">
        <v>16</v>
      </c>
      <c r="D104" t="s">
        <v>318</v>
      </c>
      <c r="F104" t="s">
        <v>326</v>
      </c>
      <c r="G104">
        <f>IF(A104="","",A104)</f>
        <v>2327</v>
      </c>
      <c r="H104" t="str">
        <f>_xlfn.CONCAT(D104,SUBSTITUTE(B104,"""","`"""),E104)</f>
        <v>`     Cannot understand the ad</v>
      </c>
      <c r="I104" t="s">
        <v>520</v>
      </c>
      <c r="J104" t="str">
        <f>_xlfn.CONCAT(I104,H104)</f>
        <v>&lt;G2B&gt;&lt;G1P&gt;`     Cannot understand the ad</v>
      </c>
    </row>
    <row r="105" spans="1:10" x14ac:dyDescent="0.25">
      <c r="A105" s="170">
        <v>2328</v>
      </c>
      <c r="B105" s="167" t="s">
        <v>1130</v>
      </c>
      <c r="C105" t="s">
        <v>16</v>
      </c>
      <c r="D105" t="s">
        <v>318</v>
      </c>
      <c r="F105" t="s">
        <v>326</v>
      </c>
      <c r="G105">
        <f>IF(A105="","",A105)</f>
        <v>2328</v>
      </c>
      <c r="H105" t="str">
        <f>_xlfn.CONCAT(D105,SUBSTITUTE(B105,"""","`"""),E105)</f>
        <v>`     Save money</v>
      </c>
      <c r="I105" t="s">
        <v>522</v>
      </c>
      <c r="J105" t="str">
        <f>_xlfn.CONCAT(I105,H105)</f>
        <v>&lt;G1P&gt;`     Save money</v>
      </c>
    </row>
    <row r="106" spans="1:10" x14ac:dyDescent="0.25">
      <c r="A106" s="173">
        <v>2340</v>
      </c>
      <c r="B106" s="172" t="s">
        <v>1049</v>
      </c>
      <c r="C106" t="s">
        <v>16</v>
      </c>
      <c r="D106" t="s">
        <v>318</v>
      </c>
      <c r="F106" t="s">
        <v>326</v>
      </c>
      <c r="G106">
        <f>IF(A106="","",A106)</f>
        <v>2340</v>
      </c>
      <c r="H106" t="str">
        <f>_xlfn.CONCAT(D106,SUBSTITUTE(B106,"""","`"""),E106)</f>
        <v>`     It's nice</v>
      </c>
      <c r="I106" t="s">
        <v>522</v>
      </c>
      <c r="J106" t="str">
        <f>_xlfn.CONCAT(I106,H106)</f>
        <v>&lt;G1P&gt;`     It's nice</v>
      </c>
    </row>
    <row r="107" spans="1:10" x14ac:dyDescent="0.25">
      <c r="A107" s="173">
        <v>2341</v>
      </c>
      <c r="B107" s="172" t="s">
        <v>1131</v>
      </c>
      <c r="C107" t="s">
        <v>16</v>
      </c>
      <c r="D107" t="s">
        <v>318</v>
      </c>
      <c r="F107" t="s">
        <v>326</v>
      </c>
      <c r="G107">
        <f>IF(A107="","",A107)</f>
        <v>2341</v>
      </c>
      <c r="H107" t="str">
        <f>_xlfn.CONCAT(D107,SUBSTITUTE(B107,"""","`"""),E107)</f>
        <v>`     The advertisement is not so catchy</v>
      </c>
      <c r="I107" t="s">
        <v>522</v>
      </c>
      <c r="J107" t="str">
        <f>_xlfn.CONCAT(I107,H107)</f>
        <v>&lt;G1P&gt;`     The advertisement is not so catchy</v>
      </c>
    </row>
    <row r="108" spans="1:10" x14ac:dyDescent="0.25">
      <c r="A108" s="173">
        <v>2365</v>
      </c>
      <c r="B108" s="172" t="s">
        <v>1132</v>
      </c>
      <c r="C108" t="s">
        <v>16</v>
      </c>
      <c r="D108" t="s">
        <v>318</v>
      </c>
      <c r="F108" t="s">
        <v>326</v>
      </c>
      <c r="G108">
        <f>IF(A108="","",A108)</f>
        <v>2365</v>
      </c>
      <c r="H108" t="str">
        <f>_xlfn.CONCAT(D108,SUBSTITUTE(B108,"""","`"""),E108)</f>
        <v>`     There is GCash</v>
      </c>
      <c r="I108" t="s">
        <v>522</v>
      </c>
      <c r="J108" t="str">
        <f>_xlfn.CONCAT(I108,H108)</f>
        <v>&lt;G1P&gt;`     There is GCash</v>
      </c>
    </row>
    <row r="109" spans="1:10" x14ac:dyDescent="0.25">
      <c r="A109" s="173">
        <v>2366</v>
      </c>
      <c r="B109" s="172" t="s">
        <v>1133</v>
      </c>
      <c r="C109" t="s">
        <v>16</v>
      </c>
      <c r="D109" t="s">
        <v>318</v>
      </c>
      <c r="F109" t="s">
        <v>326</v>
      </c>
      <c r="G109">
        <f>IF(A109="","",A109)</f>
        <v>2366</v>
      </c>
      <c r="H109" t="str">
        <f>_xlfn.CONCAT(D109,SUBSTITUTE(B109,"""","`"""),E109)</f>
        <v>`     My child can use it</v>
      </c>
      <c r="I109" t="s">
        <v>522</v>
      </c>
      <c r="J109" t="str">
        <f>_xlfn.CONCAT(I109,H109)</f>
        <v>&lt;G1P&gt;`     My child can use it</v>
      </c>
    </row>
    <row r="110" spans="1:10" x14ac:dyDescent="0.25">
      <c r="A110" s="173">
        <v>2368</v>
      </c>
      <c r="B110" s="172" t="s">
        <v>1134</v>
      </c>
      <c r="C110" t="s">
        <v>16</v>
      </c>
      <c r="D110" t="s">
        <v>318</v>
      </c>
      <c r="F110" t="s">
        <v>326</v>
      </c>
      <c r="G110">
        <f>IF(A110="","",A110)</f>
        <v>2368</v>
      </c>
      <c r="H110" t="str">
        <f>_xlfn.CONCAT(D110,SUBSTITUTE(B110,"""","`"""),E110)</f>
        <v>`     The video and the pictures are different</v>
      </c>
      <c r="I110" t="s">
        <v>522</v>
      </c>
      <c r="J110" t="str">
        <f>_xlfn.CONCAT(I110,H110)</f>
        <v>&lt;G1P&gt;`     The video and the pictures are different</v>
      </c>
    </row>
    <row r="111" spans="1:10" x14ac:dyDescent="0.25">
      <c r="A111" s="173">
        <v>2373</v>
      </c>
      <c r="B111" s="172" t="s">
        <v>1135</v>
      </c>
      <c r="C111" t="s">
        <v>16</v>
      </c>
      <c r="D111" t="s">
        <v>318</v>
      </c>
      <c r="F111" t="s">
        <v>326</v>
      </c>
      <c r="G111">
        <f>IF(A111="","",A111)</f>
        <v>2373</v>
      </c>
      <c r="H111" t="str">
        <f>_xlfn.CONCAT(D111,SUBSTITUTE(B111,"""","`"""),E111)</f>
        <v>`     With GCash protection</v>
      </c>
      <c r="I111" t="s">
        <v>522</v>
      </c>
      <c r="J111" t="str">
        <f>_xlfn.CONCAT(I111,H111)</f>
        <v>&lt;G1P&gt;`     With GCash protection</v>
      </c>
    </row>
    <row r="112" spans="1:10" x14ac:dyDescent="0.25">
      <c r="A112" s="173">
        <v>2374</v>
      </c>
      <c r="B112" s="172" t="s">
        <v>1136</v>
      </c>
      <c r="C112" t="s">
        <v>16</v>
      </c>
      <c r="D112" t="s">
        <v>318</v>
      </c>
      <c r="F112" t="s">
        <v>326</v>
      </c>
      <c r="G112">
        <f>IF(A112="","",A112)</f>
        <v>2374</v>
      </c>
      <c r="H112" t="str">
        <f>_xlfn.CONCAT(D112,SUBSTITUTE(B112,"""","`"""),E112)</f>
        <v>`     For the future of the children</v>
      </c>
      <c r="I112" t="s">
        <v>522</v>
      </c>
      <c r="J112" t="str">
        <f>_xlfn.CONCAT(I112,H112)</f>
        <v>&lt;G1P&gt;`     For the future of the children</v>
      </c>
    </row>
    <row r="113" spans="1:10" x14ac:dyDescent="0.25">
      <c r="A113" s="173">
        <v>2377</v>
      </c>
      <c r="B113" s="172" t="s">
        <v>1137</v>
      </c>
      <c r="C113" t="s">
        <v>16</v>
      </c>
      <c r="D113" t="s">
        <v>318</v>
      </c>
      <c r="F113" t="s">
        <v>326</v>
      </c>
      <c r="G113">
        <f>IF(A113="","",A113)</f>
        <v>2377</v>
      </c>
      <c r="H113" t="str">
        <f>_xlfn.CONCAT(D113,SUBSTITUTE(B113,"""","`"""),E113)</f>
        <v>`     Can be use anywhere</v>
      </c>
      <c r="I113" t="s">
        <v>522</v>
      </c>
      <c r="J113" t="str">
        <f>_xlfn.CONCAT(I113,H113)</f>
        <v>&lt;G1P&gt;`     Can be use anywhere</v>
      </c>
    </row>
    <row r="114" spans="1:10" x14ac:dyDescent="0.25">
      <c r="A114" s="180">
        <v>2403</v>
      </c>
      <c r="B114" s="179" t="s">
        <v>1144</v>
      </c>
      <c r="C114" t="s">
        <v>16</v>
      </c>
      <c r="D114" t="s">
        <v>318</v>
      </c>
      <c r="F114" t="s">
        <v>326</v>
      </c>
      <c r="G114">
        <f>IF(A114="","",A114)</f>
        <v>2403</v>
      </c>
      <c r="H114" t="str">
        <f>_xlfn.CONCAT(D114,SUBSTITUTE(B114,"""","`"""),E114)</f>
        <v>`     Interesting</v>
      </c>
      <c r="I114" t="s">
        <v>522</v>
      </c>
      <c r="J114" t="str">
        <f>_xlfn.CONCAT(I114,H114)</f>
        <v>&lt;G1P&gt;`     Interesting</v>
      </c>
    </row>
    <row r="115" spans="1:10" x14ac:dyDescent="0.25">
      <c r="A115" s="180">
        <v>2404</v>
      </c>
      <c r="B115" s="179" t="s">
        <v>1145</v>
      </c>
      <c r="C115" t="s">
        <v>16</v>
      </c>
      <c r="D115" t="s">
        <v>318</v>
      </c>
      <c r="F115" t="s">
        <v>326</v>
      </c>
      <c r="G115">
        <f>IF(A115="","",A115)</f>
        <v>2404</v>
      </c>
      <c r="H115" t="str">
        <f>_xlfn.CONCAT(D115,SUBSTITUTE(B115,"""","`"""),E115)</f>
        <v>`     Good inspiration to parents and children</v>
      </c>
      <c r="I115" t="s">
        <v>522</v>
      </c>
      <c r="J115" t="str">
        <f>_xlfn.CONCAT(I115,H115)</f>
        <v>&lt;G1P&gt;`     Good inspiration to parents and children</v>
      </c>
    </row>
    <row r="116" spans="1:10" x14ac:dyDescent="0.25">
      <c r="A116" s="180">
        <v>2405</v>
      </c>
      <c r="B116" s="179" t="s">
        <v>1146</v>
      </c>
      <c r="C116" t="s">
        <v>16</v>
      </c>
      <c r="D116" t="s">
        <v>318</v>
      </c>
      <c r="F116" t="s">
        <v>326</v>
      </c>
      <c r="G116">
        <f>IF(A116="","",A116)</f>
        <v>2405</v>
      </c>
      <c r="H116" t="str">
        <f>_xlfn.CONCAT(D116,SUBSTITUTE(B116,"""","`"""),E116)</f>
        <v>`     Will help business</v>
      </c>
      <c r="I116" t="s">
        <v>522</v>
      </c>
      <c r="J116" t="str">
        <f>_xlfn.CONCAT(I116,H116)</f>
        <v>&lt;G1P&gt;`     Will help business</v>
      </c>
    </row>
    <row r="117" spans="1:10" x14ac:dyDescent="0.25">
      <c r="A117" s="176">
        <v>2395</v>
      </c>
      <c r="B117" s="175" t="s">
        <v>1140</v>
      </c>
      <c r="C117" t="s">
        <v>16</v>
      </c>
      <c r="D117" t="s">
        <v>318</v>
      </c>
      <c r="F117" t="s">
        <v>326</v>
      </c>
      <c r="G117">
        <f>IF(A117="","",A117)</f>
        <v>2395</v>
      </c>
      <c r="H117" t="str">
        <f>_xlfn.CONCAT(D117,SUBSTITUTE(B117,"""","`"""),E117)</f>
        <v>`     Endorse at GCash</v>
      </c>
      <c r="I117" t="s">
        <v>521</v>
      </c>
      <c r="J117" t="str">
        <f>_xlfn.CONCAT(I117,H117)</f>
        <v>&lt;G2E&gt;&lt;G1P&gt;`     Endorse at GCash</v>
      </c>
    </row>
    <row r="118" spans="1:10" ht="15.75" x14ac:dyDescent="0.25">
      <c r="A118" s="170" t="s">
        <v>1154</v>
      </c>
      <c r="B118" s="174" t="s">
        <v>331</v>
      </c>
      <c r="C118" t="s">
        <v>6</v>
      </c>
      <c r="D118" t="s">
        <v>323</v>
      </c>
      <c r="E118" t="s">
        <v>322</v>
      </c>
      <c r="F118" t="s">
        <v>327</v>
      </c>
      <c r="G118" t="str">
        <f>IF(A118="","",A118)</f>
        <v>2342+2343</v>
      </c>
      <c r="H118" t="str">
        <f>_xlfn.CONCAT(D118,SUBSTITUTE(B118,"""","`"""),E118)</f>
        <v>`VAGUE (NET)&lt;Q&gt;</v>
      </c>
      <c r="J118" t="str">
        <f>_xlfn.CONCAT(I118,H118)</f>
        <v>`VAGUE (NET)&lt;Q&gt;</v>
      </c>
    </row>
    <row r="119" spans="1:10" x14ac:dyDescent="0.25">
      <c r="A119" s="173">
        <v>2342</v>
      </c>
      <c r="B119" s="172" t="s">
        <v>784</v>
      </c>
      <c r="C119" t="s">
        <v>16</v>
      </c>
      <c r="D119" t="s">
        <v>318</v>
      </c>
      <c r="F119" t="s">
        <v>326</v>
      </c>
      <c r="G119">
        <f>IF(A119="","",A119)</f>
        <v>2342</v>
      </c>
      <c r="H119" t="str">
        <f>_xlfn.CONCAT(D119,SUBSTITUTE(B119,"""","`"""),E119)</f>
        <v>`     It's okay</v>
      </c>
      <c r="I119" t="s">
        <v>520</v>
      </c>
      <c r="J119" t="str">
        <f>_xlfn.CONCAT(I119,H119)</f>
        <v>&lt;G2B&gt;&lt;G1P&gt;`     It's okay</v>
      </c>
    </row>
    <row r="120" spans="1:10" x14ac:dyDescent="0.25">
      <c r="A120" s="173">
        <v>2343</v>
      </c>
      <c r="B120" s="172" t="s">
        <v>1147</v>
      </c>
      <c r="C120" t="s">
        <v>16</v>
      </c>
      <c r="D120" t="s">
        <v>318</v>
      </c>
      <c r="F120" t="s">
        <v>326</v>
      </c>
      <c r="G120">
        <f>IF(A120="","",A120)</f>
        <v>2343</v>
      </c>
      <c r="H120" t="str">
        <f>_xlfn.CONCAT(D120,SUBSTITUTE(B120,"""","`"""),E120)</f>
        <v>`     Can be trusted on paying bills</v>
      </c>
      <c r="I120" t="s">
        <v>521</v>
      </c>
      <c r="J120" t="str">
        <f>_xlfn.CONCAT(I120,H120)</f>
        <v>&lt;G2E&gt;&lt;G1P&gt;`     Can be trusted on paying bills</v>
      </c>
    </row>
    <row r="121" spans="1:10" x14ac:dyDescent="0.25">
      <c r="A121" s="173">
        <v>9994</v>
      </c>
      <c r="B121" s="172" t="s">
        <v>796</v>
      </c>
      <c r="G121">
        <f>IF(A121="","",A121)</f>
        <v>9994</v>
      </c>
      <c r="H121" t="str">
        <f>_xlfn.CONCAT(D121,SUBSTITUTE(B121,"""","`"""),E121)</f>
        <v>No comment</v>
      </c>
      <c r="J121" t="str">
        <f>_xlfn.CONCAT(I121,H121)</f>
        <v>No comment</v>
      </c>
    </row>
    <row r="122" spans="1:10" x14ac:dyDescent="0.25">
      <c r="A122" s="173">
        <v>9997</v>
      </c>
      <c r="B122" s="172" t="s">
        <v>336</v>
      </c>
      <c r="G122">
        <f>IF(A122="","",A122)</f>
        <v>9997</v>
      </c>
      <c r="H122" t="str">
        <f>_xlfn.CONCAT(D122,SUBSTITUTE(B122,"""","`"""),E122)</f>
        <v>Don't know</v>
      </c>
      <c r="J122" t="str">
        <f>_xlfn.CONCAT(I122,H122)</f>
        <v>Don't know</v>
      </c>
    </row>
    <row r="123" spans="1:10" x14ac:dyDescent="0.25">
      <c r="A123" s="173">
        <v>9998</v>
      </c>
      <c r="B123" s="172" t="s">
        <v>797</v>
      </c>
      <c r="G123">
        <f>IF(A123="","",A123)</f>
        <v>9998</v>
      </c>
      <c r="H123" t="str">
        <f>_xlfn.CONCAT(D123,SUBSTITUTE(B123,"""","`"""),E123)</f>
        <v>No idea</v>
      </c>
      <c r="J123" t="str">
        <f>_xlfn.CONCAT(I123,H123)</f>
        <v>No idea</v>
      </c>
    </row>
    <row r="124" spans="1:10" x14ac:dyDescent="0.25">
      <c r="A124" s="173">
        <v>9999</v>
      </c>
      <c r="B124" s="172" t="s">
        <v>303</v>
      </c>
      <c r="G124">
        <f>IF(A124="","",A124)</f>
        <v>9999</v>
      </c>
      <c r="H124" t="str">
        <f>_xlfn.CONCAT(D124,SUBSTITUTE(B124,"""","`"""),E124)</f>
        <v>None</v>
      </c>
      <c r="J124" t="str">
        <f>_xlfn.CONCAT(I124,H124)</f>
        <v>None</v>
      </c>
    </row>
  </sheetData>
  <autoFilter ref="A1:J124" xr:uid="{856FFC99-6E16-42EA-A65B-FA648D578EDB}"/>
  <conditionalFormatting sqref="A104">
    <cfRule type="duplicateValues" dxfId="112" priority="7"/>
  </conditionalFormatting>
  <conditionalFormatting sqref="A105">
    <cfRule type="duplicateValues" dxfId="111" priority="8"/>
  </conditionalFormatting>
  <conditionalFormatting sqref="A106">
    <cfRule type="duplicateValues" dxfId="110" priority="5"/>
  </conditionalFormatting>
  <conditionalFormatting sqref="A107">
    <cfRule type="duplicateValues" dxfId="109" priority="6"/>
  </conditionalFormatting>
  <conditionalFormatting sqref="A86:A97">
    <cfRule type="duplicateValues" dxfId="108" priority="399"/>
  </conditionalFormatting>
  <conditionalFormatting sqref="A64">
    <cfRule type="duplicateValues" dxfId="107" priority="414"/>
  </conditionalFormatting>
  <conditionalFormatting sqref="A36">
    <cfRule type="duplicateValues" dxfId="106" priority="456"/>
  </conditionalFormatting>
  <conditionalFormatting sqref="A103 A1:A35 A65:A85 A37:A63">
    <cfRule type="duplicateValues" dxfId="105" priority="2939"/>
  </conditionalFormatting>
  <conditionalFormatting sqref="A103:A107 A1:A97">
    <cfRule type="duplicateValues" dxfId="104" priority="3047"/>
  </conditionalFormatting>
  <conditionalFormatting sqref="B103:B107 B1:B97">
    <cfRule type="duplicateValues" dxfId="103" priority="3049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dimension ref="A1:J110"/>
  <sheetViews>
    <sheetView topLeftCell="A82" workbookViewId="0">
      <selection activeCell="I110" sqref="G1:I110"/>
    </sheetView>
  </sheetViews>
  <sheetFormatPr defaultRowHeight="15" x14ac:dyDescent="0.25"/>
  <cols>
    <col min="1" max="2" width="34.7109375" customWidth="1"/>
    <col min="8" max="8" width="30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16" t="s">
        <v>1246</v>
      </c>
      <c r="B2" s="117" t="s">
        <v>1155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1001+1002+1003+1004+1005+1031+1050+1051+1053+1056</v>
      </c>
      <c r="H2" t="str">
        <f t="shared" ref="H2:H33" si="1">_xlfn.CONCAT(D2,SUBSTITUTE(B2,"""","`"""),E2)</f>
        <v>`GCASH MENTIONS (NET)&lt;Q&gt;</v>
      </c>
      <c r="I2" t="s">
        <v>518</v>
      </c>
      <c r="J2" t="str">
        <f t="shared" ref="J2:J33" si="2">_xlfn.CONCAT(I2,H2)</f>
        <v>&lt;G1B&gt;`GCASH MENTIONS (NET)&lt;Q&gt;</v>
      </c>
    </row>
    <row r="3" spans="1:10" x14ac:dyDescent="0.25">
      <c r="A3" s="116">
        <v>1001</v>
      </c>
      <c r="B3" s="118" t="s">
        <v>641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GCash</v>
      </c>
      <c r="I3" t="s">
        <v>520</v>
      </c>
      <c r="J3" t="str">
        <f t="shared" si="2"/>
        <v>&lt;G2B&gt;&lt;G1P&gt;`     GCash</v>
      </c>
    </row>
    <row r="4" spans="1:10" x14ac:dyDescent="0.25">
      <c r="A4" s="116">
        <v>1002</v>
      </c>
      <c r="B4" s="118" t="s">
        <v>470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About GCash</v>
      </c>
      <c r="I4" t="s">
        <v>522</v>
      </c>
      <c r="J4" t="str">
        <f t="shared" si="2"/>
        <v>&lt;G1P&gt;`     About GCash</v>
      </c>
    </row>
    <row r="5" spans="1:10" x14ac:dyDescent="0.25">
      <c r="A5" s="116">
        <v>1003</v>
      </c>
      <c r="B5" s="118" t="s">
        <v>1156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GCash stories</v>
      </c>
      <c r="I5" t="s">
        <v>522</v>
      </c>
      <c r="J5" t="str">
        <f t="shared" si="2"/>
        <v>&lt;G1P&gt;`     GCash stories</v>
      </c>
    </row>
    <row r="6" spans="1:10" x14ac:dyDescent="0.25">
      <c r="A6" s="116">
        <v>1004</v>
      </c>
      <c r="B6" s="118" t="s">
        <v>913</v>
      </c>
      <c r="C6" t="s">
        <v>16</v>
      </c>
      <c r="D6" t="s">
        <v>318</v>
      </c>
      <c r="F6" t="s">
        <v>326</v>
      </c>
      <c r="G6">
        <f t="shared" si="0"/>
        <v>1004</v>
      </c>
      <c r="H6" t="str">
        <f t="shared" si="1"/>
        <v>`     Encouraging people to use GCash</v>
      </c>
      <c r="I6" t="s">
        <v>522</v>
      </c>
      <c r="J6" t="str">
        <f t="shared" si="2"/>
        <v>&lt;G1P&gt;`     Encouraging people to use GCash</v>
      </c>
    </row>
    <row r="7" spans="1:10" x14ac:dyDescent="0.25">
      <c r="A7" s="116">
        <v>1005</v>
      </c>
      <c r="B7" s="118" t="s">
        <v>1157</v>
      </c>
      <c r="C7" t="s">
        <v>16</v>
      </c>
      <c r="D7" t="s">
        <v>318</v>
      </c>
      <c r="F7" t="s">
        <v>326</v>
      </c>
      <c r="G7">
        <f t="shared" si="0"/>
        <v>1005</v>
      </c>
      <c r="H7" t="str">
        <f t="shared" si="1"/>
        <v>`     GCash is important</v>
      </c>
      <c r="I7" t="s">
        <v>522</v>
      </c>
      <c r="J7" t="str">
        <f t="shared" si="2"/>
        <v>&lt;G1P&gt;`     GCash is important</v>
      </c>
    </row>
    <row r="8" spans="1:10" ht="28.5" x14ac:dyDescent="0.25">
      <c r="A8" s="119">
        <v>1031</v>
      </c>
      <c r="B8" s="120" t="s">
        <v>1158</v>
      </c>
      <c r="C8" t="s">
        <v>16</v>
      </c>
      <c r="D8" t="s">
        <v>318</v>
      </c>
      <c r="F8" t="s">
        <v>326</v>
      </c>
      <c r="G8">
        <f t="shared" si="0"/>
        <v>1031</v>
      </c>
      <c r="H8" t="str">
        <f t="shared" si="1"/>
        <v>`     GCash has different kind of services</v>
      </c>
      <c r="I8" t="s">
        <v>522</v>
      </c>
      <c r="J8" t="str">
        <f t="shared" si="2"/>
        <v>&lt;G1P&gt;`     GCash has different kind of services</v>
      </c>
    </row>
    <row r="9" spans="1:10" x14ac:dyDescent="0.25">
      <c r="A9" s="121">
        <v>1050</v>
      </c>
      <c r="B9" s="122" t="s">
        <v>1159</v>
      </c>
      <c r="C9" t="s">
        <v>16</v>
      </c>
      <c r="D9" t="s">
        <v>318</v>
      </c>
      <c r="F9" t="s">
        <v>326</v>
      </c>
      <c r="G9">
        <f t="shared" si="0"/>
        <v>1050</v>
      </c>
      <c r="H9" t="str">
        <f t="shared" si="1"/>
        <v>`     Gcash advertise</v>
      </c>
      <c r="I9" t="s">
        <v>522</v>
      </c>
      <c r="J9" t="str">
        <f t="shared" si="2"/>
        <v>&lt;G1P&gt;`     Gcash advertise</v>
      </c>
    </row>
    <row r="10" spans="1:10" x14ac:dyDescent="0.25">
      <c r="A10" s="121">
        <v>1051</v>
      </c>
      <c r="B10" s="122" t="s">
        <v>1160</v>
      </c>
      <c r="C10" t="s">
        <v>16</v>
      </c>
      <c r="D10" t="s">
        <v>318</v>
      </c>
      <c r="F10" t="s">
        <v>326</v>
      </c>
      <c r="G10">
        <f t="shared" si="0"/>
        <v>1051</v>
      </c>
      <c r="H10" t="str">
        <f t="shared" si="1"/>
        <v>`     Gcash for athlete's</v>
      </c>
      <c r="I10" t="s">
        <v>522</v>
      </c>
      <c r="J10" t="str">
        <f t="shared" si="2"/>
        <v>&lt;G1P&gt;`     Gcash for athlete's</v>
      </c>
    </row>
    <row r="11" spans="1:10" x14ac:dyDescent="0.25">
      <c r="A11" s="121">
        <v>1053</v>
      </c>
      <c r="B11" s="122" t="s">
        <v>1161</v>
      </c>
      <c r="C11" t="s">
        <v>16</v>
      </c>
      <c r="D11" t="s">
        <v>318</v>
      </c>
      <c r="F11" t="s">
        <v>326</v>
      </c>
      <c r="G11">
        <f t="shared" si="0"/>
        <v>1053</v>
      </c>
      <c r="H11" t="str">
        <f t="shared" si="1"/>
        <v>`     Gcash saving</v>
      </c>
      <c r="I11" t="s">
        <v>522</v>
      </c>
      <c r="J11" t="str">
        <f t="shared" si="2"/>
        <v>&lt;G1P&gt;`     Gcash saving</v>
      </c>
    </row>
    <row r="12" spans="1:10" x14ac:dyDescent="0.25">
      <c r="A12" s="121">
        <v>1056</v>
      </c>
      <c r="B12" s="122" t="s">
        <v>1162</v>
      </c>
      <c r="C12" t="s">
        <v>16</v>
      </c>
      <c r="D12" t="s">
        <v>318</v>
      </c>
      <c r="F12" t="s">
        <v>326</v>
      </c>
      <c r="G12">
        <f t="shared" si="0"/>
        <v>1056</v>
      </c>
      <c r="H12" t="str">
        <f t="shared" si="1"/>
        <v>`     Happy with gcash</v>
      </c>
      <c r="I12" t="s">
        <v>521</v>
      </c>
      <c r="J12" t="str">
        <f t="shared" si="2"/>
        <v>&lt;G2E&gt;&lt;G1P&gt;`     Happy with gcash</v>
      </c>
    </row>
    <row r="13" spans="1:10" ht="28.5" x14ac:dyDescent="0.25">
      <c r="A13" s="116" t="s">
        <v>1247</v>
      </c>
      <c r="B13" s="117" t="s">
        <v>1163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1006+1007+1008+1009+1010+1035+1036+1054+1060</v>
      </c>
      <c r="H13" t="str">
        <f t="shared" si="1"/>
        <v>`PINOY ATHLETES (NET)&lt;Q&gt;</v>
      </c>
      <c r="J13" t="str">
        <f t="shared" si="2"/>
        <v>`PINOY ATHLETES (NET)&lt;Q&gt;</v>
      </c>
    </row>
    <row r="14" spans="1:10" ht="28.5" x14ac:dyDescent="0.25">
      <c r="A14" s="116">
        <v>1006</v>
      </c>
      <c r="B14" s="118" t="s">
        <v>1164</v>
      </c>
      <c r="C14" t="s">
        <v>16</v>
      </c>
      <c r="D14" t="s">
        <v>318</v>
      </c>
      <c r="F14" t="s">
        <v>326</v>
      </c>
      <c r="G14">
        <f t="shared" si="0"/>
        <v>1006</v>
      </c>
      <c r="H14" t="str">
        <f t="shared" si="1"/>
        <v>`     GCash also helps the Pinoy athletes</v>
      </c>
      <c r="I14" t="s">
        <v>520</v>
      </c>
      <c r="J14" t="str">
        <f t="shared" si="2"/>
        <v>&lt;G2B&gt;&lt;G1P&gt;`     GCash also helps the Pinoy athletes</v>
      </c>
    </row>
    <row r="15" spans="1:10" x14ac:dyDescent="0.25">
      <c r="A15" s="116">
        <v>1007</v>
      </c>
      <c r="B15" s="118" t="s">
        <v>1165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Pinoy athletes</v>
      </c>
      <c r="I15" t="s">
        <v>522</v>
      </c>
      <c r="J15" t="str">
        <f t="shared" si="2"/>
        <v>&lt;G1P&gt;`     Pinoy athletes</v>
      </c>
    </row>
    <row r="16" spans="1:10" x14ac:dyDescent="0.25">
      <c r="A16" s="116">
        <v>1008</v>
      </c>
      <c r="B16" s="118" t="s">
        <v>1166</v>
      </c>
      <c r="C16" t="s">
        <v>16</v>
      </c>
      <c r="D16" t="s">
        <v>318</v>
      </c>
      <c r="F16" t="s">
        <v>326</v>
      </c>
      <c r="G16">
        <f t="shared" si="0"/>
        <v>1008</v>
      </c>
      <c r="H16" t="str">
        <f t="shared" si="1"/>
        <v>`     Support the athletes</v>
      </c>
      <c r="I16" t="s">
        <v>522</v>
      </c>
      <c r="J16" t="str">
        <f t="shared" si="2"/>
        <v>&lt;G1P&gt;`     Support the athletes</v>
      </c>
    </row>
    <row r="17" spans="1:10" x14ac:dyDescent="0.25">
      <c r="A17" s="116">
        <v>1009</v>
      </c>
      <c r="B17" s="118" t="s">
        <v>1167</v>
      </c>
      <c r="C17" t="s">
        <v>16</v>
      </c>
      <c r="D17" t="s">
        <v>318</v>
      </c>
      <c r="F17" t="s">
        <v>326</v>
      </c>
      <c r="G17">
        <f t="shared" si="0"/>
        <v>1009</v>
      </c>
      <c r="H17" t="str">
        <f t="shared" si="1"/>
        <v>`     About the Olympics</v>
      </c>
      <c r="I17" t="s">
        <v>522</v>
      </c>
      <c r="J17" t="str">
        <f t="shared" si="2"/>
        <v>&lt;G1P&gt;`     About the Olympics</v>
      </c>
    </row>
    <row r="18" spans="1:10" x14ac:dyDescent="0.25">
      <c r="A18" s="116">
        <v>1010</v>
      </c>
      <c r="B18" s="118" t="s">
        <v>1168</v>
      </c>
      <c r="C18" t="s">
        <v>16</v>
      </c>
      <c r="D18" t="s">
        <v>318</v>
      </c>
      <c r="F18" t="s">
        <v>326</v>
      </c>
      <c r="G18">
        <f t="shared" si="0"/>
        <v>1010</v>
      </c>
      <c r="H18" t="str">
        <f t="shared" si="1"/>
        <v>`     To support the athletes</v>
      </c>
      <c r="I18" t="s">
        <v>522</v>
      </c>
      <c r="J18" t="str">
        <f t="shared" si="2"/>
        <v>&lt;G1P&gt;`     To support the athletes</v>
      </c>
    </row>
    <row r="19" spans="1:10" x14ac:dyDescent="0.25">
      <c r="A19" s="123">
        <v>1035</v>
      </c>
      <c r="B19" s="124" t="s">
        <v>1169</v>
      </c>
      <c r="C19" t="s">
        <v>16</v>
      </c>
      <c r="D19" t="s">
        <v>318</v>
      </c>
      <c r="F19" t="s">
        <v>326</v>
      </c>
      <c r="G19">
        <f t="shared" si="0"/>
        <v>1035</v>
      </c>
      <c r="H19" t="str">
        <f t="shared" si="1"/>
        <v>`     Dream of being athletes</v>
      </c>
      <c r="I19" t="s">
        <v>522</v>
      </c>
      <c r="J19" t="str">
        <f t="shared" si="2"/>
        <v>&lt;G1P&gt;`     Dream of being athletes</v>
      </c>
    </row>
    <row r="20" spans="1:10" ht="42.75" x14ac:dyDescent="0.25">
      <c r="A20" s="123">
        <v>1036</v>
      </c>
      <c r="B20" s="124" t="s">
        <v>1170</v>
      </c>
      <c r="C20" t="s">
        <v>16</v>
      </c>
      <c r="D20" t="s">
        <v>318</v>
      </c>
      <c r="F20" t="s">
        <v>326</v>
      </c>
      <c r="G20">
        <f t="shared" si="0"/>
        <v>1036</v>
      </c>
      <c r="H20" t="str">
        <f t="shared" si="1"/>
        <v>`     Yulo is not for basketball anymore, can have milyons for just doing summersault</v>
      </c>
      <c r="I20" t="s">
        <v>522</v>
      </c>
      <c r="J20" t="str">
        <f t="shared" si="2"/>
        <v>&lt;G1P&gt;`     Yulo is not for basketball anymore, can have milyons for just doing summersault</v>
      </c>
    </row>
    <row r="21" spans="1:10" x14ac:dyDescent="0.25">
      <c r="A21" s="125">
        <v>1054</v>
      </c>
      <c r="B21" s="126" t="s">
        <v>1171</v>
      </c>
      <c r="C21" t="s">
        <v>16</v>
      </c>
      <c r="D21" t="s">
        <v>318</v>
      </c>
      <c r="F21" t="s">
        <v>326</v>
      </c>
      <c r="G21">
        <f t="shared" si="0"/>
        <v>1054</v>
      </c>
      <c r="H21" t="str">
        <f t="shared" si="1"/>
        <v>`     Athletes with dissability</v>
      </c>
      <c r="I21" t="s">
        <v>522</v>
      </c>
      <c r="J21" t="str">
        <f t="shared" si="2"/>
        <v>&lt;G1P&gt;`     Athletes with dissability</v>
      </c>
    </row>
    <row r="22" spans="1:10" ht="28.5" x14ac:dyDescent="0.25">
      <c r="A22" s="125">
        <v>1060</v>
      </c>
      <c r="B22" s="126" t="s">
        <v>1172</v>
      </c>
      <c r="C22" t="s">
        <v>16</v>
      </c>
      <c r="D22" t="s">
        <v>318</v>
      </c>
      <c r="F22" t="s">
        <v>326</v>
      </c>
      <c r="G22">
        <f t="shared" si="0"/>
        <v>1060</v>
      </c>
      <c r="H22" t="str">
        <f t="shared" si="1"/>
        <v>`     Even with a disability can be an athlete</v>
      </c>
      <c r="I22" t="s">
        <v>521</v>
      </c>
      <c r="J22" t="str">
        <f t="shared" si="2"/>
        <v>&lt;G2E&gt;&lt;G1P&gt;`     Even with a disability can be an athlete</v>
      </c>
    </row>
    <row r="23" spans="1:10" ht="31.5" x14ac:dyDescent="0.25">
      <c r="A23" s="116">
        <v>1011</v>
      </c>
      <c r="B23" s="117" t="s">
        <v>1173</v>
      </c>
      <c r="C23" t="s">
        <v>6</v>
      </c>
      <c r="D23" t="s">
        <v>323</v>
      </c>
      <c r="E23" t="s">
        <v>322</v>
      </c>
      <c r="F23" t="s">
        <v>327</v>
      </c>
      <c r="G23">
        <f t="shared" si="0"/>
        <v>1011</v>
      </c>
      <c r="H23" t="str">
        <f t="shared" si="1"/>
        <v>`BUY LOAD VIA GCASH TO DONWLOAD MOVIES (NET)&lt;Q&gt;</v>
      </c>
      <c r="J23" t="str">
        <f t="shared" si="2"/>
        <v>`BUY LOAD VIA GCASH TO DONWLOAD MOVIES (NET)&lt;Q&gt;</v>
      </c>
    </row>
    <row r="24" spans="1:10" ht="28.5" x14ac:dyDescent="0.25">
      <c r="A24" s="116">
        <v>1011</v>
      </c>
      <c r="B24" s="127" t="s">
        <v>1174</v>
      </c>
      <c r="C24" t="s">
        <v>16</v>
      </c>
      <c r="D24" t="s">
        <v>318</v>
      </c>
      <c r="F24" t="s">
        <v>326</v>
      </c>
      <c r="G24">
        <f t="shared" si="0"/>
        <v>1011</v>
      </c>
      <c r="H24" t="str">
        <f t="shared" si="1"/>
        <v>`     Can pay via GCash to download/ avail movies</v>
      </c>
      <c r="I24" t="s">
        <v>522</v>
      </c>
      <c r="J24" t="str">
        <f t="shared" si="2"/>
        <v>&lt;G1P&gt;`     Can pay via GCash to download/ avail movies</v>
      </c>
    </row>
    <row r="25" spans="1:10" ht="47.25" x14ac:dyDescent="0.25">
      <c r="A25" s="116">
        <v>1012</v>
      </c>
      <c r="B25" s="117" t="s">
        <v>1175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1012</v>
      </c>
      <c r="H25" t="str">
        <f t="shared" si="1"/>
        <v>`CAN USE GCASH ANYWHERE IN THE WORLD (NET)&lt;Q&gt;</v>
      </c>
      <c r="J25" t="str">
        <f t="shared" si="2"/>
        <v>`CAN USE GCASH ANYWHERE IN THE WORLD (NET)&lt;Q&gt;</v>
      </c>
    </row>
    <row r="26" spans="1:10" ht="28.5" x14ac:dyDescent="0.25">
      <c r="A26" s="116">
        <v>1012</v>
      </c>
      <c r="B26" s="127" t="s">
        <v>1176</v>
      </c>
      <c r="C26" t="s">
        <v>16</v>
      </c>
      <c r="D26" t="s">
        <v>318</v>
      </c>
      <c r="F26" t="s">
        <v>326</v>
      </c>
      <c r="G26">
        <f t="shared" si="0"/>
        <v>1012</v>
      </c>
      <c r="H26" t="str">
        <f t="shared" si="1"/>
        <v>`     You can use GCash anywhere in the world</v>
      </c>
      <c r="I26" t="s">
        <v>522</v>
      </c>
      <c r="J26" t="str">
        <f t="shared" si="2"/>
        <v>&lt;G1P&gt;`     You can use GCash anywhere in the world</v>
      </c>
    </row>
    <row r="27" spans="1:10" ht="15.75" x14ac:dyDescent="0.25">
      <c r="A27" s="116">
        <v>1013</v>
      </c>
      <c r="B27" s="117" t="s">
        <v>456</v>
      </c>
      <c r="C27" t="s">
        <v>6</v>
      </c>
      <c r="D27" t="s">
        <v>323</v>
      </c>
      <c r="E27" t="s">
        <v>322</v>
      </c>
      <c r="F27" t="s">
        <v>327</v>
      </c>
      <c r="G27">
        <f t="shared" si="0"/>
        <v>1013</v>
      </c>
      <c r="H27" t="str">
        <f t="shared" si="1"/>
        <v>`INCLUSIVITY (NET)&lt;Q&gt;</v>
      </c>
      <c r="J27" t="str">
        <f t="shared" si="2"/>
        <v>`INCLUSIVITY (NET)&lt;Q&gt;</v>
      </c>
    </row>
    <row r="28" spans="1:10" ht="28.5" x14ac:dyDescent="0.25">
      <c r="A28" s="116">
        <v>1013</v>
      </c>
      <c r="B28" s="127" t="s">
        <v>1177</v>
      </c>
      <c r="C28" t="s">
        <v>16</v>
      </c>
      <c r="D28" t="s">
        <v>318</v>
      </c>
      <c r="F28" t="s">
        <v>326</v>
      </c>
      <c r="G28">
        <f t="shared" si="0"/>
        <v>1013</v>
      </c>
      <c r="H28" t="str">
        <f t="shared" si="1"/>
        <v>`     Be persistent to achieve your goals together with GCash</v>
      </c>
      <c r="I28" t="s">
        <v>522</v>
      </c>
      <c r="J28" t="str">
        <f t="shared" si="2"/>
        <v>&lt;G1P&gt;`     Be persistent to achieve your goals together with GCash</v>
      </c>
    </row>
    <row r="29" spans="1:10" ht="15.75" x14ac:dyDescent="0.25">
      <c r="A29" s="116" t="s">
        <v>1248</v>
      </c>
      <c r="B29" s="117" t="s">
        <v>1178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1014+1015</v>
      </c>
      <c r="H29" t="str">
        <f t="shared" si="1"/>
        <v>`GIVES HOPE (NET)&lt;Q&gt;</v>
      </c>
      <c r="J29" t="str">
        <f t="shared" si="2"/>
        <v>`GIVES HOPE (NET)&lt;Q&gt;</v>
      </c>
    </row>
    <row r="30" spans="1:10" ht="28.5" x14ac:dyDescent="0.25">
      <c r="A30" s="116">
        <v>1014</v>
      </c>
      <c r="B30" s="118" t="s">
        <v>1179</v>
      </c>
      <c r="C30" t="s">
        <v>16</v>
      </c>
      <c r="D30" t="s">
        <v>318</v>
      </c>
      <c r="F30" t="s">
        <v>326</v>
      </c>
      <c r="G30">
        <f t="shared" si="0"/>
        <v>1014</v>
      </c>
      <c r="H30" t="str">
        <f t="shared" si="1"/>
        <v>`     Do not lose hope because GCash is reliable</v>
      </c>
      <c r="I30" t="s">
        <v>520</v>
      </c>
      <c r="J30" t="str">
        <f t="shared" si="2"/>
        <v>&lt;G2B&gt;&lt;G1P&gt;`     Do not lose hope because GCash is reliable</v>
      </c>
    </row>
    <row r="31" spans="1:10" x14ac:dyDescent="0.25">
      <c r="A31" s="116">
        <v>1015</v>
      </c>
      <c r="B31" s="118" t="s">
        <v>1180</v>
      </c>
      <c r="C31" t="s">
        <v>16</v>
      </c>
      <c r="D31" t="s">
        <v>318</v>
      </c>
      <c r="F31" t="s">
        <v>326</v>
      </c>
      <c r="G31">
        <f t="shared" si="0"/>
        <v>1015</v>
      </c>
      <c r="H31" t="str">
        <f t="shared" si="1"/>
        <v>`     Do not lose hope</v>
      </c>
      <c r="I31" t="s">
        <v>521</v>
      </c>
      <c r="J31" t="str">
        <f t="shared" si="2"/>
        <v>&lt;G2E&gt;&lt;G1P&gt;`     Do not lose hope</v>
      </c>
    </row>
    <row r="32" spans="1:10" ht="15.75" x14ac:dyDescent="0.25">
      <c r="A32" s="116" t="s">
        <v>1249</v>
      </c>
      <c r="B32" s="117" t="s">
        <v>411</v>
      </c>
      <c r="C32" t="s">
        <v>6</v>
      </c>
      <c r="D32" t="s">
        <v>323</v>
      </c>
      <c r="E32" t="s">
        <v>322</v>
      </c>
      <c r="F32" t="s">
        <v>327</v>
      </c>
      <c r="G32" t="str">
        <f t="shared" si="0"/>
        <v>1016+1070</v>
      </c>
      <c r="H32" t="str">
        <f t="shared" si="1"/>
        <v>`FAST TRANSACTION (NET)&lt;Q&gt;</v>
      </c>
      <c r="J32" t="str">
        <f t="shared" si="2"/>
        <v>`FAST TRANSACTION (NET)&lt;Q&gt;</v>
      </c>
    </row>
    <row r="33" spans="1:10" x14ac:dyDescent="0.25">
      <c r="A33" s="116">
        <v>1016</v>
      </c>
      <c r="B33" s="118" t="s">
        <v>412</v>
      </c>
      <c r="C33" t="s">
        <v>16</v>
      </c>
      <c r="D33" t="s">
        <v>318</v>
      </c>
      <c r="F33" t="s">
        <v>326</v>
      </c>
      <c r="G33">
        <f t="shared" si="0"/>
        <v>1016</v>
      </c>
      <c r="H33" t="str">
        <f t="shared" si="1"/>
        <v>`     Fast transaction</v>
      </c>
      <c r="I33" t="s">
        <v>520</v>
      </c>
      <c r="J33" t="str">
        <f t="shared" si="2"/>
        <v>&lt;G2B&gt;&lt;G1P&gt;`     Fast transaction</v>
      </c>
    </row>
    <row r="34" spans="1:10" x14ac:dyDescent="0.25">
      <c r="A34" s="125">
        <v>1070</v>
      </c>
      <c r="B34" s="126" t="s">
        <v>1181</v>
      </c>
      <c r="C34" t="s">
        <v>16</v>
      </c>
      <c r="D34" t="s">
        <v>318</v>
      </c>
      <c r="F34" t="s">
        <v>326</v>
      </c>
      <c r="G34">
        <f t="shared" ref="G34:G65" si="3">IF(A34="","",A34)</f>
        <v>1070</v>
      </c>
      <c r="H34" t="str">
        <f t="shared" ref="H34:H65" si="4">_xlfn.CONCAT(D34,SUBSTITUTE(B34,"""","`"""),E34)</f>
        <v>`     Send money fast</v>
      </c>
      <c r="I34" t="s">
        <v>521</v>
      </c>
      <c r="J34" t="str">
        <f t="shared" ref="J34:J65" si="5">_xlfn.CONCAT(I34,H34)</f>
        <v>&lt;G2E&gt;&lt;G1P&gt;`     Send money fast</v>
      </c>
    </row>
    <row r="35" spans="1:10" ht="31.5" x14ac:dyDescent="0.25">
      <c r="A35" s="116" t="s">
        <v>1250</v>
      </c>
      <c r="B35" s="117" t="s">
        <v>1182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1017+1033+1034+1055+1076</v>
      </c>
      <c r="H35" t="str">
        <f t="shared" si="4"/>
        <v>`EASE OF TRANSACTION (NET)&lt;Q&gt;</v>
      </c>
      <c r="J35" t="str">
        <f t="shared" si="5"/>
        <v>`EASE OF TRANSACTION (NET)&lt;Q&gt;</v>
      </c>
    </row>
    <row r="36" spans="1:10" x14ac:dyDescent="0.25">
      <c r="A36" s="116">
        <v>1017</v>
      </c>
      <c r="B36" s="118" t="s">
        <v>1183</v>
      </c>
      <c r="C36" t="s">
        <v>16</v>
      </c>
      <c r="D36" t="s">
        <v>318</v>
      </c>
      <c r="F36" t="s">
        <v>326</v>
      </c>
      <c r="G36">
        <f t="shared" si="3"/>
        <v>1017</v>
      </c>
      <c r="H36" t="str">
        <f t="shared" si="4"/>
        <v>`     For ease of transaction</v>
      </c>
      <c r="I36" t="s">
        <v>520</v>
      </c>
      <c r="J36" t="str">
        <f t="shared" si="5"/>
        <v>&lt;G2B&gt;&lt;G1P&gt;`     For ease of transaction</v>
      </c>
    </row>
    <row r="37" spans="1:10" x14ac:dyDescent="0.25">
      <c r="A37" s="123">
        <v>1033</v>
      </c>
      <c r="B37" s="124" t="s">
        <v>494</v>
      </c>
      <c r="C37" t="s">
        <v>16</v>
      </c>
      <c r="D37" t="s">
        <v>318</v>
      </c>
      <c r="F37" t="s">
        <v>326</v>
      </c>
      <c r="G37">
        <f t="shared" si="3"/>
        <v>1033</v>
      </c>
      <c r="H37" t="str">
        <f t="shared" si="4"/>
        <v>`     Easy to use</v>
      </c>
      <c r="I37" t="s">
        <v>522</v>
      </c>
      <c r="J37" t="str">
        <f t="shared" si="5"/>
        <v>&lt;G1P&gt;`     Easy to use</v>
      </c>
    </row>
    <row r="38" spans="1:10" x14ac:dyDescent="0.25">
      <c r="A38" s="123">
        <v>1034</v>
      </c>
      <c r="B38" s="124" t="s">
        <v>730</v>
      </c>
      <c r="C38" t="s">
        <v>16</v>
      </c>
      <c r="D38" t="s">
        <v>318</v>
      </c>
      <c r="F38" t="s">
        <v>326</v>
      </c>
      <c r="G38">
        <f t="shared" si="3"/>
        <v>1034</v>
      </c>
      <c r="H38" t="str">
        <f t="shared" si="4"/>
        <v>`     Convenient to use</v>
      </c>
      <c r="I38" t="s">
        <v>522</v>
      </c>
      <c r="J38" t="str">
        <f t="shared" si="5"/>
        <v>&lt;G1P&gt;`     Convenient to use</v>
      </c>
    </row>
    <row r="39" spans="1:10" x14ac:dyDescent="0.25">
      <c r="A39" s="125">
        <v>1055</v>
      </c>
      <c r="B39" s="126" t="s">
        <v>1184</v>
      </c>
      <c r="C39" t="s">
        <v>16</v>
      </c>
      <c r="D39" t="s">
        <v>318</v>
      </c>
      <c r="F39" t="s">
        <v>326</v>
      </c>
      <c r="G39">
        <f t="shared" si="3"/>
        <v>1055</v>
      </c>
      <c r="H39" t="str">
        <f t="shared" si="4"/>
        <v>`     Good transaction</v>
      </c>
      <c r="I39" t="s">
        <v>522</v>
      </c>
      <c r="J39" t="str">
        <f t="shared" si="5"/>
        <v>&lt;G1P&gt;`     Good transaction</v>
      </c>
    </row>
    <row r="40" spans="1:10" x14ac:dyDescent="0.25">
      <c r="A40" s="125">
        <v>1076</v>
      </c>
      <c r="B40" s="126" t="s">
        <v>1185</v>
      </c>
      <c r="C40" t="s">
        <v>16</v>
      </c>
      <c r="D40" t="s">
        <v>318</v>
      </c>
      <c r="F40" t="s">
        <v>326</v>
      </c>
      <c r="G40">
        <f t="shared" si="3"/>
        <v>1076</v>
      </c>
      <c r="H40" t="str">
        <f t="shared" si="4"/>
        <v>`     Many transactions in gcash</v>
      </c>
      <c r="I40" t="s">
        <v>521</v>
      </c>
      <c r="J40" t="str">
        <f t="shared" si="5"/>
        <v>&lt;G2E&gt;&lt;G1P&gt;`     Many transactions in gcash</v>
      </c>
    </row>
    <row r="41" spans="1:10" ht="15.75" x14ac:dyDescent="0.25">
      <c r="A41" s="116" t="s">
        <v>1251</v>
      </c>
      <c r="B41" s="117" t="s">
        <v>734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1018+1019+1020+1021</v>
      </c>
      <c r="H41" t="str">
        <f t="shared" si="4"/>
        <v>`GCASH IS RELIABLE (NET)&lt;Q&gt;</v>
      </c>
      <c r="J41" t="str">
        <f t="shared" si="5"/>
        <v>`GCASH IS RELIABLE (NET)&lt;Q&gt;</v>
      </c>
    </row>
    <row r="42" spans="1:10" ht="28.5" x14ac:dyDescent="0.25">
      <c r="A42" s="116">
        <v>1018</v>
      </c>
      <c r="B42" s="118" t="s">
        <v>1179</v>
      </c>
      <c r="C42" t="s">
        <v>16</v>
      </c>
      <c r="D42" t="s">
        <v>318</v>
      </c>
      <c r="F42" t="s">
        <v>326</v>
      </c>
      <c r="G42">
        <f t="shared" si="3"/>
        <v>1018</v>
      </c>
      <c r="H42" t="str">
        <f t="shared" si="4"/>
        <v>`     Do not lose hope because GCash is reliable</v>
      </c>
      <c r="I42" t="s">
        <v>520</v>
      </c>
      <c r="J42" t="str">
        <f t="shared" si="5"/>
        <v>&lt;G2B&gt;&lt;G1P&gt;`     Do not lose hope because GCash is reliable</v>
      </c>
    </row>
    <row r="43" spans="1:10" ht="28.5" x14ac:dyDescent="0.25">
      <c r="A43" s="116">
        <v>1019</v>
      </c>
      <c r="B43" s="118" t="s">
        <v>1186</v>
      </c>
      <c r="C43" t="s">
        <v>16</v>
      </c>
      <c r="D43" t="s">
        <v>318</v>
      </c>
      <c r="F43" t="s">
        <v>326</v>
      </c>
      <c r="G43">
        <f t="shared" si="3"/>
        <v>1019</v>
      </c>
      <c r="H43" t="str">
        <f t="shared" si="4"/>
        <v>`     GCash is reliable in times of need and emergencies</v>
      </c>
      <c r="I43" t="s">
        <v>522</v>
      </c>
      <c r="J43" t="str">
        <f t="shared" si="5"/>
        <v>&lt;G1P&gt;`     GCash is reliable in times of need and emergencies</v>
      </c>
    </row>
    <row r="44" spans="1:10" x14ac:dyDescent="0.25">
      <c r="A44" s="116">
        <v>1020</v>
      </c>
      <c r="B44" s="118" t="s">
        <v>735</v>
      </c>
      <c r="C44" t="s">
        <v>16</v>
      </c>
      <c r="D44" t="s">
        <v>318</v>
      </c>
      <c r="F44" t="s">
        <v>326</v>
      </c>
      <c r="G44">
        <f t="shared" si="3"/>
        <v>1020</v>
      </c>
      <c r="H44" t="str">
        <f t="shared" si="4"/>
        <v>`     GCash is reliable</v>
      </c>
      <c r="I44" t="s">
        <v>522</v>
      </c>
      <c r="J44" t="str">
        <f t="shared" si="5"/>
        <v>&lt;G1P&gt;`     GCash is reliable</v>
      </c>
    </row>
    <row r="45" spans="1:10" ht="28.5" x14ac:dyDescent="0.25">
      <c r="A45" s="116">
        <v>1021</v>
      </c>
      <c r="B45" s="118" t="s">
        <v>1187</v>
      </c>
      <c r="C45" t="s">
        <v>16</v>
      </c>
      <c r="D45" t="s">
        <v>318</v>
      </c>
      <c r="F45" t="s">
        <v>326</v>
      </c>
      <c r="G45">
        <f t="shared" si="3"/>
        <v>1021</v>
      </c>
      <c r="H45" t="str">
        <f t="shared" si="4"/>
        <v>`     Do not give up, GCash is with you in your journey to success</v>
      </c>
      <c r="I45" t="s">
        <v>521</v>
      </c>
      <c r="J45" t="str">
        <f t="shared" si="5"/>
        <v>&lt;G2E&gt;&lt;G1P&gt;`     Do not give up, GCash is with you in your journey to success</v>
      </c>
    </row>
    <row r="46" spans="1:10" ht="15.75" x14ac:dyDescent="0.25">
      <c r="A46" s="116" t="s">
        <v>1252</v>
      </c>
      <c r="B46" s="117" t="s">
        <v>1188</v>
      </c>
      <c r="C46" t="s">
        <v>6</v>
      </c>
      <c r="D46" t="s">
        <v>323</v>
      </c>
      <c r="E46" t="s">
        <v>322</v>
      </c>
      <c r="F46" t="s">
        <v>327</v>
      </c>
      <c r="G46" t="str">
        <f t="shared" si="3"/>
        <v>1022+1023+1024+1025+1026</v>
      </c>
      <c r="H46" t="str">
        <f t="shared" si="4"/>
        <v>`RESILIENCE (NET)&lt;Q&gt;</v>
      </c>
      <c r="J46" t="str">
        <f t="shared" si="5"/>
        <v>`RESILIENCE (NET)&lt;Q&gt;</v>
      </c>
    </row>
    <row r="47" spans="1:10" ht="28.5" x14ac:dyDescent="0.25">
      <c r="A47" s="116">
        <v>1022</v>
      </c>
      <c r="B47" s="118" t="s">
        <v>1189</v>
      </c>
      <c r="C47" t="s">
        <v>16</v>
      </c>
      <c r="D47" t="s">
        <v>318</v>
      </c>
      <c r="F47" t="s">
        <v>326</v>
      </c>
      <c r="G47">
        <f t="shared" si="3"/>
        <v>1022</v>
      </c>
      <c r="H47" t="str">
        <f t="shared" si="4"/>
        <v>`     Trust yourself that you can overcome any challenges</v>
      </c>
      <c r="I47" t="s">
        <v>520</v>
      </c>
      <c r="J47" t="str">
        <f t="shared" si="5"/>
        <v>&lt;G2B&gt;&lt;G1P&gt;`     Trust yourself that you can overcome any challenges</v>
      </c>
    </row>
    <row r="48" spans="1:10" ht="28.5" x14ac:dyDescent="0.25">
      <c r="A48" s="116">
        <v>1023</v>
      </c>
      <c r="B48" s="118" t="s">
        <v>1190</v>
      </c>
      <c r="C48" t="s">
        <v>16</v>
      </c>
      <c r="D48" t="s">
        <v>318</v>
      </c>
      <c r="F48" t="s">
        <v>326</v>
      </c>
      <c r="G48">
        <f t="shared" si="3"/>
        <v>1023</v>
      </c>
      <c r="H48" t="str">
        <f t="shared" si="4"/>
        <v>`     Gives inspiration to the youth not to give up on their dreams</v>
      </c>
      <c r="I48" t="s">
        <v>522</v>
      </c>
      <c r="J48" t="str">
        <f t="shared" si="5"/>
        <v>&lt;G1P&gt;`     Gives inspiration to the youth not to give up on their dreams</v>
      </c>
    </row>
    <row r="49" spans="1:10" x14ac:dyDescent="0.25">
      <c r="A49" s="116">
        <v>1024</v>
      </c>
      <c r="B49" s="118" t="s">
        <v>1191</v>
      </c>
      <c r="C49" t="s">
        <v>16</v>
      </c>
      <c r="D49" t="s">
        <v>318</v>
      </c>
      <c r="F49" t="s">
        <v>326</v>
      </c>
      <c r="G49">
        <f t="shared" si="3"/>
        <v>1024</v>
      </c>
      <c r="H49" t="str">
        <f t="shared" si="4"/>
        <v>`     Do not give up</v>
      </c>
      <c r="I49" t="s">
        <v>522</v>
      </c>
      <c r="J49" t="str">
        <f t="shared" si="5"/>
        <v>&lt;G1P&gt;`     Do not give up</v>
      </c>
    </row>
    <row r="50" spans="1:10" ht="28.5" x14ac:dyDescent="0.25">
      <c r="A50" s="116">
        <v>1025</v>
      </c>
      <c r="B50" s="118" t="s">
        <v>1192</v>
      </c>
      <c r="C50" t="s">
        <v>16</v>
      </c>
      <c r="D50" t="s">
        <v>318</v>
      </c>
      <c r="F50" t="s">
        <v>326</v>
      </c>
      <c r="G50">
        <f t="shared" si="3"/>
        <v>1025</v>
      </c>
      <c r="H50" t="str">
        <f t="shared" si="4"/>
        <v>`     Disability is not a barrier for success</v>
      </c>
      <c r="I50" t="s">
        <v>522</v>
      </c>
      <c r="J50" t="str">
        <f t="shared" si="5"/>
        <v>&lt;G1P&gt;`     Disability is not a barrier for success</v>
      </c>
    </row>
    <row r="51" spans="1:10" ht="28.5" x14ac:dyDescent="0.25">
      <c r="A51" s="116">
        <v>1026</v>
      </c>
      <c r="B51" s="118" t="s">
        <v>1187</v>
      </c>
      <c r="C51" t="s">
        <v>16</v>
      </c>
      <c r="D51" t="s">
        <v>318</v>
      </c>
      <c r="F51" t="s">
        <v>326</v>
      </c>
      <c r="G51">
        <f t="shared" si="3"/>
        <v>1026</v>
      </c>
      <c r="H51" t="str">
        <f t="shared" si="4"/>
        <v>`     Do not give up, GCash is with you in your journey to success</v>
      </c>
      <c r="I51" t="s">
        <v>521</v>
      </c>
      <c r="J51" t="str">
        <f t="shared" si="5"/>
        <v>&lt;G2E&gt;&lt;G1P&gt;`     Do not give up, GCash is with you in your journey to success</v>
      </c>
    </row>
    <row r="52" spans="1:10" ht="31.5" x14ac:dyDescent="0.25">
      <c r="A52" s="116" t="s">
        <v>1253</v>
      </c>
      <c r="B52" s="117" t="s">
        <v>1193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1027+1028+1052+1061+1062+1063+1065</v>
      </c>
      <c r="H52" t="str">
        <f t="shared" si="4"/>
        <v>`EMPOWERMENT/ INSPIRATION (NET)&lt;Q&gt;</v>
      </c>
      <c r="J52" t="str">
        <f t="shared" si="5"/>
        <v>`EMPOWERMENT/ INSPIRATION (NET)&lt;Q&gt;</v>
      </c>
    </row>
    <row r="53" spans="1:10" ht="28.5" x14ac:dyDescent="0.25">
      <c r="A53" s="116">
        <v>1027</v>
      </c>
      <c r="B53" s="118" t="s">
        <v>1190</v>
      </c>
      <c r="C53" t="s">
        <v>16</v>
      </c>
      <c r="D53" t="s">
        <v>318</v>
      </c>
      <c r="F53" t="s">
        <v>326</v>
      </c>
      <c r="G53">
        <f t="shared" si="3"/>
        <v>1027</v>
      </c>
      <c r="H53" t="str">
        <f t="shared" si="4"/>
        <v>`     Gives inspiration to the youth not to give up on their dreams</v>
      </c>
      <c r="I53" t="s">
        <v>520</v>
      </c>
      <c r="J53" t="str">
        <f t="shared" si="5"/>
        <v>&lt;G2B&gt;&lt;G1P&gt;`     Gives inspiration to the youth not to give up on their dreams</v>
      </c>
    </row>
    <row r="54" spans="1:10" ht="28.5" x14ac:dyDescent="0.25">
      <c r="A54" s="116">
        <v>1028</v>
      </c>
      <c r="B54" s="118" t="s">
        <v>1194</v>
      </c>
      <c r="C54" t="s">
        <v>16</v>
      </c>
      <c r="D54" t="s">
        <v>318</v>
      </c>
      <c r="F54" t="s">
        <v>326</v>
      </c>
      <c r="G54">
        <f t="shared" si="3"/>
        <v>1028</v>
      </c>
      <c r="H54" t="str">
        <f t="shared" si="4"/>
        <v>`     Gives inspiration to all those with disabilities</v>
      </c>
      <c r="I54" t="s">
        <v>522</v>
      </c>
      <c r="J54" t="str">
        <f t="shared" si="5"/>
        <v>&lt;G1P&gt;`     Gives inspiration to all those with disabilities</v>
      </c>
    </row>
    <row r="55" spans="1:10" ht="28.5" x14ac:dyDescent="0.25">
      <c r="A55" s="125">
        <v>1052</v>
      </c>
      <c r="B55" s="126" t="s">
        <v>1195</v>
      </c>
      <c r="C55" t="s">
        <v>16</v>
      </c>
      <c r="D55" t="s">
        <v>318</v>
      </c>
      <c r="F55" t="s">
        <v>326</v>
      </c>
      <c r="G55">
        <f t="shared" si="3"/>
        <v>1052</v>
      </c>
      <c r="H55" t="str">
        <f t="shared" si="4"/>
        <v>`     Gcash is supporting people with dissability</v>
      </c>
      <c r="I55" t="s">
        <v>522</v>
      </c>
      <c r="J55" t="str">
        <f t="shared" si="5"/>
        <v>&lt;G1P&gt;`     Gcash is supporting people with dissability</v>
      </c>
    </row>
    <row r="56" spans="1:10" ht="42.75" x14ac:dyDescent="0.25">
      <c r="A56" s="125">
        <v>1061</v>
      </c>
      <c r="B56" s="126" t="s">
        <v>1196</v>
      </c>
      <c r="C56" t="s">
        <v>16</v>
      </c>
      <c r="D56" t="s">
        <v>318</v>
      </c>
      <c r="F56" t="s">
        <v>326</v>
      </c>
      <c r="G56">
        <f t="shared" si="3"/>
        <v>1061</v>
      </c>
      <c r="H56" t="str">
        <f t="shared" si="4"/>
        <v>`     Even with a disability he was able to follow and bring joy and happiness to people</v>
      </c>
      <c r="I56" t="s">
        <v>522</v>
      </c>
      <c r="J56" t="str">
        <f t="shared" si="5"/>
        <v>&lt;G1P&gt;`     Even with a disability he was able to follow and bring joy and happiness to people</v>
      </c>
    </row>
    <row r="57" spans="1:10" x14ac:dyDescent="0.25">
      <c r="A57" s="125">
        <v>1062</v>
      </c>
      <c r="B57" s="126" t="s">
        <v>1197</v>
      </c>
      <c r="C57" t="s">
        <v>16</v>
      </c>
      <c r="D57" t="s">
        <v>318</v>
      </c>
      <c r="F57" t="s">
        <v>326</v>
      </c>
      <c r="G57">
        <f t="shared" si="3"/>
        <v>1062</v>
      </c>
      <c r="H57" t="str">
        <f t="shared" si="4"/>
        <v>`     Even with disabilities they help</v>
      </c>
      <c r="I57" t="s">
        <v>522</v>
      </c>
      <c r="J57" t="str">
        <f t="shared" si="5"/>
        <v>&lt;G1P&gt;`     Even with disabilities they help</v>
      </c>
    </row>
    <row r="58" spans="1:10" x14ac:dyDescent="0.25">
      <c r="A58" s="125">
        <v>1063</v>
      </c>
      <c r="B58" s="126" t="s">
        <v>1198</v>
      </c>
      <c r="C58" t="s">
        <v>16</v>
      </c>
      <c r="D58" t="s">
        <v>318</v>
      </c>
      <c r="F58" t="s">
        <v>326</v>
      </c>
      <c r="G58">
        <f t="shared" si="3"/>
        <v>1063</v>
      </c>
      <c r="H58" t="str">
        <f t="shared" si="4"/>
        <v>`     Even with disabilities they can win</v>
      </c>
      <c r="I58" t="s">
        <v>522</v>
      </c>
      <c r="J58" t="str">
        <f t="shared" si="5"/>
        <v>&lt;G1P&gt;`     Even with disabilities they can win</v>
      </c>
    </row>
    <row r="59" spans="1:10" ht="28.5" x14ac:dyDescent="0.25">
      <c r="A59" s="125">
        <v>1065</v>
      </c>
      <c r="B59" s="126" t="s">
        <v>1199</v>
      </c>
      <c r="C59" t="s">
        <v>16</v>
      </c>
      <c r="D59" t="s">
        <v>318</v>
      </c>
      <c r="F59" t="s">
        <v>326</v>
      </c>
      <c r="G59">
        <f t="shared" si="3"/>
        <v>1065</v>
      </c>
      <c r="H59" t="str">
        <f t="shared" si="4"/>
        <v>`     Even with disabilities nothing imposible</v>
      </c>
      <c r="I59" t="s">
        <v>521</v>
      </c>
      <c r="J59" t="str">
        <f t="shared" si="5"/>
        <v>&lt;G2E&gt;&lt;G1P&gt;`     Even with disabilities nothing imposible</v>
      </c>
    </row>
    <row r="60" spans="1:10" ht="15.75" x14ac:dyDescent="0.25">
      <c r="A60" s="116">
        <v>1091</v>
      </c>
      <c r="B60" s="117" t="s">
        <v>1200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1091</v>
      </c>
      <c r="H60" t="str">
        <f t="shared" si="4"/>
        <v>`SEND ONLINE (NET)&lt;Q&gt;</v>
      </c>
      <c r="I60" t="s">
        <v>519</v>
      </c>
      <c r="J60" t="str">
        <f t="shared" si="5"/>
        <v>&lt;G1E&gt;`SEND ONLINE (NET)&lt;Q&gt;</v>
      </c>
    </row>
    <row r="61" spans="1:10" x14ac:dyDescent="0.25">
      <c r="A61" s="125">
        <v>1091</v>
      </c>
      <c r="B61" s="126" t="s">
        <v>1201</v>
      </c>
      <c r="C61" t="s">
        <v>16</v>
      </c>
      <c r="D61" t="s">
        <v>318</v>
      </c>
      <c r="F61" t="s">
        <v>326</v>
      </c>
      <c r="G61">
        <f t="shared" si="3"/>
        <v>1091</v>
      </c>
      <c r="H61" t="str">
        <f t="shared" si="4"/>
        <v>`     Can send online</v>
      </c>
      <c r="I61" t="s">
        <v>522</v>
      </c>
      <c r="J61" t="str">
        <f t="shared" si="5"/>
        <v>&lt;G1P&gt;`     Can send online</v>
      </c>
    </row>
    <row r="62" spans="1:10" ht="114" x14ac:dyDescent="0.25">
      <c r="A62" s="116" t="s">
        <v>1254</v>
      </c>
      <c r="B62" s="117" t="s">
        <v>332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1029+1030+1032+1037+1038+1039+1040+1041+1042+1043+1044+1045+1046+1047+1048+1049+1057+1058+1059+1064+1066+1067+1068+1069+1071+1072+1073+1074+1075+1077+1078+1079+1080+1081+1082+1083+1084+1085+1086+1087+1088+1090+1092</v>
      </c>
      <c r="H62" t="str">
        <f t="shared" si="4"/>
        <v>`OTHERS (NET)&lt;Q&gt;</v>
      </c>
      <c r="J62" t="str">
        <f t="shared" si="5"/>
        <v>`OTHERS (NET)&lt;Q&gt;</v>
      </c>
    </row>
    <row r="63" spans="1:10" x14ac:dyDescent="0.25">
      <c r="A63" s="116">
        <v>1029</v>
      </c>
      <c r="B63" s="118" t="s">
        <v>1202</v>
      </c>
      <c r="C63" t="s">
        <v>16</v>
      </c>
      <c r="D63" t="s">
        <v>318</v>
      </c>
      <c r="F63" t="s">
        <v>326</v>
      </c>
      <c r="G63">
        <f t="shared" si="3"/>
        <v>1029</v>
      </c>
      <c r="H63" t="str">
        <f t="shared" si="4"/>
        <v>`     Good performance</v>
      </c>
      <c r="I63" t="s">
        <v>520</v>
      </c>
      <c r="J63" t="str">
        <f t="shared" si="5"/>
        <v>&lt;G2B&gt;&lt;G1P&gt;`     Good performance</v>
      </c>
    </row>
    <row r="64" spans="1:10" x14ac:dyDescent="0.25">
      <c r="A64" s="116">
        <v>1030</v>
      </c>
      <c r="B64" s="118" t="s">
        <v>1203</v>
      </c>
      <c r="C64" t="s">
        <v>16</v>
      </c>
      <c r="D64" t="s">
        <v>318</v>
      </c>
      <c r="F64" t="s">
        <v>326</v>
      </c>
      <c r="G64">
        <f t="shared" si="3"/>
        <v>1030</v>
      </c>
      <c r="H64" t="str">
        <f t="shared" si="4"/>
        <v>`     About gymnastic</v>
      </c>
      <c r="I64" t="s">
        <v>522</v>
      </c>
      <c r="J64" t="str">
        <f t="shared" si="5"/>
        <v>&lt;G1P&gt;`     About gymnastic</v>
      </c>
    </row>
    <row r="65" spans="1:10" ht="28.5" x14ac:dyDescent="0.25">
      <c r="A65" s="123">
        <v>1032</v>
      </c>
      <c r="B65" s="124" t="s">
        <v>1204</v>
      </c>
      <c r="C65" t="s">
        <v>16</v>
      </c>
      <c r="D65" t="s">
        <v>318</v>
      </c>
      <c r="F65" t="s">
        <v>326</v>
      </c>
      <c r="G65">
        <f t="shared" si="3"/>
        <v>1032</v>
      </c>
      <c r="H65" t="str">
        <f t="shared" si="4"/>
        <v>`     Show that GCash has good services</v>
      </c>
      <c r="I65" t="s">
        <v>522</v>
      </c>
      <c r="J65" t="str">
        <f t="shared" si="5"/>
        <v>&lt;G1P&gt;`     Show that GCash has good services</v>
      </c>
    </row>
    <row r="66" spans="1:10" ht="28.5" x14ac:dyDescent="0.25">
      <c r="A66" s="125">
        <v>1037</v>
      </c>
      <c r="B66" s="126" t="s">
        <v>1205</v>
      </c>
      <c r="C66" t="s">
        <v>16</v>
      </c>
      <c r="D66" t="s">
        <v>318</v>
      </c>
      <c r="F66" t="s">
        <v>326</v>
      </c>
      <c r="G66">
        <f t="shared" ref="G66:G97" si="6">IF(A66="","",A66)</f>
        <v>1037</v>
      </c>
      <c r="H66" t="str">
        <f t="shared" ref="H66:H97" si="7">_xlfn.CONCAT(D66,SUBSTITUTE(B66,"""","`"""),E66)</f>
        <v>`     About donation using gcash for transfer</v>
      </c>
      <c r="I66" t="s">
        <v>522</v>
      </c>
      <c r="J66" t="str">
        <f t="shared" ref="J66:J97" si="8">_xlfn.CONCAT(I66,H66)</f>
        <v>&lt;G1P&gt;`     About donation using gcash for transfer</v>
      </c>
    </row>
    <row r="67" spans="1:10" x14ac:dyDescent="0.25">
      <c r="A67" s="125">
        <v>1038</v>
      </c>
      <c r="B67" s="126" t="s">
        <v>1206</v>
      </c>
      <c r="C67" t="s">
        <v>16</v>
      </c>
      <c r="D67" t="s">
        <v>318</v>
      </c>
      <c r="F67" t="s">
        <v>326</v>
      </c>
      <c r="G67">
        <f t="shared" si="6"/>
        <v>1038</v>
      </c>
      <c r="H67" t="str">
        <f t="shared" si="7"/>
        <v>`     About sa gloan</v>
      </c>
      <c r="I67" t="s">
        <v>522</v>
      </c>
      <c r="J67" t="str">
        <f t="shared" si="8"/>
        <v>&lt;G1P&gt;`     About sa gloan</v>
      </c>
    </row>
    <row r="68" spans="1:10" x14ac:dyDescent="0.25">
      <c r="A68" s="125">
        <v>1039</v>
      </c>
      <c r="B68" s="126" t="s">
        <v>1207</v>
      </c>
      <c r="C68" t="s">
        <v>16</v>
      </c>
      <c r="D68" t="s">
        <v>318</v>
      </c>
      <c r="F68" t="s">
        <v>326</v>
      </c>
      <c r="G68">
        <f t="shared" si="6"/>
        <v>1039</v>
      </c>
      <c r="H68" t="str">
        <f t="shared" si="7"/>
        <v>`     Gcash is for everyone</v>
      </c>
      <c r="I68" t="s">
        <v>522</v>
      </c>
      <c r="J68" t="str">
        <f t="shared" si="8"/>
        <v>&lt;G1P&gt;`     Gcash is for everyone</v>
      </c>
    </row>
    <row r="69" spans="1:10" ht="28.5" x14ac:dyDescent="0.25">
      <c r="A69" s="125">
        <v>1040</v>
      </c>
      <c r="B69" s="126" t="s">
        <v>1208</v>
      </c>
      <c r="C69" t="s">
        <v>16</v>
      </c>
      <c r="D69" t="s">
        <v>318</v>
      </c>
      <c r="F69" t="s">
        <v>326</v>
      </c>
      <c r="G69">
        <f t="shared" si="6"/>
        <v>1040</v>
      </c>
      <c r="H69" t="str">
        <f t="shared" si="7"/>
        <v>`     Gcash should be used in a good way</v>
      </c>
      <c r="I69" t="s">
        <v>522</v>
      </c>
      <c r="J69" t="str">
        <f t="shared" si="8"/>
        <v>&lt;G1P&gt;`     Gcash should be used in a good way</v>
      </c>
    </row>
    <row r="70" spans="1:10" x14ac:dyDescent="0.25">
      <c r="A70" s="125">
        <v>1041</v>
      </c>
      <c r="B70" s="126" t="s">
        <v>1209</v>
      </c>
      <c r="C70" t="s">
        <v>16</v>
      </c>
      <c r="D70" t="s">
        <v>318</v>
      </c>
      <c r="F70" t="s">
        <v>326</v>
      </c>
      <c r="G70">
        <f t="shared" si="6"/>
        <v>1041</v>
      </c>
      <c r="H70" t="str">
        <f t="shared" si="7"/>
        <v>`     Gcash helps people who need help</v>
      </c>
      <c r="I70" t="s">
        <v>522</v>
      </c>
      <c r="J70" t="str">
        <f t="shared" si="8"/>
        <v>&lt;G1P&gt;`     Gcash helps people who need help</v>
      </c>
    </row>
    <row r="71" spans="1:10" x14ac:dyDescent="0.25">
      <c r="A71" s="125">
        <v>1042</v>
      </c>
      <c r="B71" s="126" t="s">
        <v>1210</v>
      </c>
      <c r="C71" t="s">
        <v>16</v>
      </c>
      <c r="D71" t="s">
        <v>318</v>
      </c>
      <c r="F71" t="s">
        <v>326</v>
      </c>
      <c r="G71">
        <f t="shared" si="6"/>
        <v>1042</v>
      </c>
      <c r="H71" t="str">
        <f t="shared" si="7"/>
        <v>`     Using QR code to buy</v>
      </c>
      <c r="I71" t="s">
        <v>522</v>
      </c>
      <c r="J71" t="str">
        <f t="shared" si="8"/>
        <v>&lt;G1P&gt;`     Using QR code to buy</v>
      </c>
    </row>
    <row r="72" spans="1:10" x14ac:dyDescent="0.25">
      <c r="A72" s="125">
        <v>1043</v>
      </c>
      <c r="B72" s="126" t="s">
        <v>1211</v>
      </c>
      <c r="C72" t="s">
        <v>16</v>
      </c>
      <c r="D72" t="s">
        <v>318</v>
      </c>
      <c r="F72" t="s">
        <v>326</v>
      </c>
      <c r="G72">
        <f t="shared" si="6"/>
        <v>1043</v>
      </c>
      <c r="H72" t="str">
        <f t="shared" si="7"/>
        <v>`     Courage</v>
      </c>
      <c r="I72" t="s">
        <v>522</v>
      </c>
      <c r="J72" t="str">
        <f t="shared" si="8"/>
        <v>&lt;G1P&gt;`     Courage</v>
      </c>
    </row>
    <row r="73" spans="1:10" x14ac:dyDescent="0.25">
      <c r="A73" s="125">
        <v>1044</v>
      </c>
      <c r="B73" s="126" t="s">
        <v>1212</v>
      </c>
      <c r="C73" t="s">
        <v>16</v>
      </c>
      <c r="D73" t="s">
        <v>318</v>
      </c>
      <c r="F73" t="s">
        <v>326</v>
      </c>
      <c r="G73">
        <f t="shared" si="6"/>
        <v>1044</v>
      </c>
      <c r="H73" t="str">
        <f t="shared" si="7"/>
        <v>`     Self determination</v>
      </c>
      <c r="I73" t="s">
        <v>522</v>
      </c>
      <c r="J73" t="str">
        <f t="shared" si="8"/>
        <v>&lt;G1P&gt;`     Self determination</v>
      </c>
    </row>
    <row r="74" spans="1:10" x14ac:dyDescent="0.25">
      <c r="A74" s="125">
        <v>1045</v>
      </c>
      <c r="B74" s="126" t="s">
        <v>1213</v>
      </c>
      <c r="C74" t="s">
        <v>16</v>
      </c>
      <c r="D74" t="s">
        <v>318</v>
      </c>
      <c r="F74" t="s">
        <v>326</v>
      </c>
      <c r="G74">
        <f t="shared" si="6"/>
        <v>1045</v>
      </c>
      <c r="H74" t="str">
        <f t="shared" si="7"/>
        <v>`     Gcash helped a lot</v>
      </c>
      <c r="I74" t="s">
        <v>522</v>
      </c>
      <c r="J74" t="str">
        <f t="shared" si="8"/>
        <v>&lt;G1P&gt;`     Gcash helped a lot</v>
      </c>
    </row>
    <row r="75" spans="1:10" x14ac:dyDescent="0.25">
      <c r="A75" s="125">
        <v>1046</v>
      </c>
      <c r="B75" s="126" t="s">
        <v>1214</v>
      </c>
      <c r="C75" t="s">
        <v>16</v>
      </c>
      <c r="D75" t="s">
        <v>318</v>
      </c>
      <c r="F75" t="s">
        <v>326</v>
      </c>
      <c r="G75">
        <f t="shared" si="6"/>
        <v>1046</v>
      </c>
      <c r="H75" t="str">
        <f t="shared" si="7"/>
        <v xml:space="preserve">`     Gcash can't be used by children </v>
      </c>
      <c r="I75" t="s">
        <v>522</v>
      </c>
      <c r="J75" t="str">
        <f t="shared" si="8"/>
        <v xml:space="preserve">&lt;G1P&gt;`     Gcash can't be used by children </v>
      </c>
    </row>
    <row r="76" spans="1:10" x14ac:dyDescent="0.25">
      <c r="A76" s="125">
        <v>1047</v>
      </c>
      <c r="B76" s="126" t="s">
        <v>1215</v>
      </c>
      <c r="C76" t="s">
        <v>16</v>
      </c>
      <c r="D76" t="s">
        <v>318</v>
      </c>
      <c r="F76" t="s">
        <v>326</v>
      </c>
      <c r="G76">
        <f t="shared" si="6"/>
        <v>1047</v>
      </c>
      <c r="H76" t="str">
        <f t="shared" si="7"/>
        <v>`     Financial</v>
      </c>
      <c r="I76" t="s">
        <v>522</v>
      </c>
      <c r="J76" t="str">
        <f t="shared" si="8"/>
        <v>&lt;G1P&gt;`     Financial</v>
      </c>
    </row>
    <row r="77" spans="1:10" ht="28.5" x14ac:dyDescent="0.25">
      <c r="A77" s="125">
        <v>1048</v>
      </c>
      <c r="B77" s="126" t="s">
        <v>1216</v>
      </c>
      <c r="C77" t="s">
        <v>16</v>
      </c>
      <c r="D77" t="s">
        <v>318</v>
      </c>
      <c r="F77" t="s">
        <v>326</v>
      </c>
      <c r="G77">
        <f t="shared" si="6"/>
        <v>1048</v>
      </c>
      <c r="H77" t="str">
        <f t="shared" si="7"/>
        <v>`     Fund raising to help aspiring atheletes with disabilities</v>
      </c>
      <c r="I77" t="s">
        <v>522</v>
      </c>
      <c r="J77" t="str">
        <f t="shared" si="8"/>
        <v>&lt;G1P&gt;`     Fund raising to help aspiring atheletes with disabilities</v>
      </c>
    </row>
    <row r="78" spans="1:10" x14ac:dyDescent="0.25">
      <c r="A78" s="125">
        <v>1049</v>
      </c>
      <c r="B78" s="126" t="s">
        <v>1217</v>
      </c>
      <c r="C78" t="s">
        <v>16</v>
      </c>
      <c r="D78" t="s">
        <v>318</v>
      </c>
      <c r="F78" t="s">
        <v>326</v>
      </c>
      <c r="G78">
        <f t="shared" si="6"/>
        <v>1049</v>
      </c>
      <c r="H78" t="str">
        <f t="shared" si="7"/>
        <v>`     Immittate to succeed</v>
      </c>
      <c r="I78" t="s">
        <v>522</v>
      </c>
      <c r="J78" t="str">
        <f t="shared" si="8"/>
        <v>&lt;G1P&gt;`     Immittate to succeed</v>
      </c>
    </row>
    <row r="79" spans="1:10" x14ac:dyDescent="0.25">
      <c r="A79" s="125">
        <v>1057</v>
      </c>
      <c r="B79" s="126" t="s">
        <v>1218</v>
      </c>
      <c r="C79" t="s">
        <v>16</v>
      </c>
      <c r="D79" t="s">
        <v>318</v>
      </c>
      <c r="F79" t="s">
        <v>326</v>
      </c>
      <c r="G79">
        <f t="shared" si="6"/>
        <v>1057</v>
      </c>
      <c r="H79" t="str">
        <f t="shared" si="7"/>
        <v>`     You can do it whatever it is</v>
      </c>
      <c r="I79" t="s">
        <v>522</v>
      </c>
      <c r="J79" t="str">
        <f t="shared" si="8"/>
        <v>&lt;G1P&gt;`     You can do it whatever it is</v>
      </c>
    </row>
    <row r="80" spans="1:10" ht="28.5" x14ac:dyDescent="0.25">
      <c r="A80" s="125">
        <v>1058</v>
      </c>
      <c r="B80" s="126" t="s">
        <v>1219</v>
      </c>
      <c r="C80" t="s">
        <v>16</v>
      </c>
      <c r="D80" t="s">
        <v>318</v>
      </c>
      <c r="F80" t="s">
        <v>326</v>
      </c>
      <c r="G80">
        <f t="shared" si="6"/>
        <v>1058</v>
      </c>
      <c r="H80" t="str">
        <f t="shared" si="7"/>
        <v>`     Even with disabilities they can used gcash for payment</v>
      </c>
      <c r="I80" t="s">
        <v>522</v>
      </c>
      <c r="J80" t="str">
        <f t="shared" si="8"/>
        <v>&lt;G1P&gt;`     Even with disabilities they can used gcash for payment</v>
      </c>
    </row>
    <row r="81" spans="1:10" ht="28.5" x14ac:dyDescent="0.25">
      <c r="A81" s="125">
        <v>1059</v>
      </c>
      <c r="B81" s="126" t="s">
        <v>1220</v>
      </c>
      <c r="C81" t="s">
        <v>16</v>
      </c>
      <c r="D81" t="s">
        <v>318</v>
      </c>
      <c r="F81" t="s">
        <v>326</v>
      </c>
      <c r="G81">
        <f t="shared" si="6"/>
        <v>1059</v>
      </c>
      <c r="H81" t="str">
        <f t="shared" si="7"/>
        <v>`     EVEN IF THEY ARE DISABLED, YOU CAN HELP USING GCASH</v>
      </c>
      <c r="I81" t="s">
        <v>522</v>
      </c>
      <c r="J81" t="str">
        <f t="shared" si="8"/>
        <v>&lt;G1P&gt;`     EVEN IF THEY ARE DISABLED, YOU CAN HELP USING GCASH</v>
      </c>
    </row>
    <row r="82" spans="1:10" ht="28.5" x14ac:dyDescent="0.25">
      <c r="A82" s="125">
        <v>1064</v>
      </c>
      <c r="B82" s="126" t="s">
        <v>1221</v>
      </c>
      <c r="C82" t="s">
        <v>16</v>
      </c>
      <c r="D82" t="s">
        <v>318</v>
      </c>
      <c r="F82" t="s">
        <v>326</v>
      </c>
      <c r="G82">
        <f t="shared" si="6"/>
        <v>1064</v>
      </c>
      <c r="H82" t="str">
        <f t="shared" si="7"/>
        <v>`     Even with disabilities they can used gcash</v>
      </c>
      <c r="I82" t="s">
        <v>522</v>
      </c>
      <c r="J82" t="str">
        <f t="shared" si="8"/>
        <v>&lt;G1P&gt;`     Even with disabilities they can used gcash</v>
      </c>
    </row>
    <row r="83" spans="1:10" x14ac:dyDescent="0.25">
      <c r="A83" s="125">
        <v>1066</v>
      </c>
      <c r="B83" s="126" t="s">
        <v>1222</v>
      </c>
      <c r="C83" t="s">
        <v>16</v>
      </c>
      <c r="D83" t="s">
        <v>318</v>
      </c>
      <c r="F83" t="s">
        <v>326</v>
      </c>
      <c r="G83">
        <f t="shared" si="6"/>
        <v>1066</v>
      </c>
      <c r="H83" t="str">
        <f t="shared" si="7"/>
        <v>`     PWD's story</v>
      </c>
      <c r="I83" t="s">
        <v>522</v>
      </c>
      <c r="J83" t="str">
        <f t="shared" si="8"/>
        <v>&lt;G1P&gt;`     PWD's story</v>
      </c>
    </row>
    <row r="84" spans="1:10" x14ac:dyDescent="0.25">
      <c r="A84" s="125">
        <v>1067</v>
      </c>
      <c r="B84" s="126" t="s">
        <v>1223</v>
      </c>
      <c r="C84" t="s">
        <v>16</v>
      </c>
      <c r="D84" t="s">
        <v>318</v>
      </c>
      <c r="F84" t="s">
        <v>326</v>
      </c>
      <c r="G84">
        <f t="shared" si="6"/>
        <v>1067</v>
      </c>
      <c r="H84" t="str">
        <f t="shared" si="7"/>
        <v>`     Fight for the future using c gcash</v>
      </c>
      <c r="I84" t="s">
        <v>522</v>
      </c>
      <c r="J84" t="str">
        <f t="shared" si="8"/>
        <v>&lt;G1P&gt;`     Fight for the future using c gcash</v>
      </c>
    </row>
    <row r="85" spans="1:10" x14ac:dyDescent="0.25">
      <c r="A85" s="125">
        <v>1068</v>
      </c>
      <c r="B85" s="126" t="s">
        <v>1224</v>
      </c>
      <c r="C85" t="s">
        <v>16</v>
      </c>
      <c r="D85" t="s">
        <v>318</v>
      </c>
      <c r="F85" t="s">
        <v>326</v>
      </c>
      <c r="G85">
        <f t="shared" si="6"/>
        <v>1068</v>
      </c>
      <c r="H85" t="str">
        <f t="shared" si="7"/>
        <v>`     Everything is in gcash</v>
      </c>
      <c r="I85" t="s">
        <v>522</v>
      </c>
      <c r="J85" t="str">
        <f t="shared" si="8"/>
        <v>&lt;G1P&gt;`     Everything is in gcash</v>
      </c>
    </row>
    <row r="86" spans="1:10" x14ac:dyDescent="0.25">
      <c r="A86" s="125">
        <v>1069</v>
      </c>
      <c r="B86" s="126" t="s">
        <v>1225</v>
      </c>
      <c r="C86" t="s">
        <v>16</v>
      </c>
      <c r="D86" t="s">
        <v>318</v>
      </c>
      <c r="F86" t="s">
        <v>326</v>
      </c>
      <c r="G86">
        <f t="shared" si="6"/>
        <v>1069</v>
      </c>
      <c r="H86" t="str">
        <f t="shared" si="7"/>
        <v>`     There may be improvement</v>
      </c>
      <c r="I86" t="s">
        <v>522</v>
      </c>
      <c r="J86" t="str">
        <f t="shared" si="8"/>
        <v>&lt;G1P&gt;`     There may be improvement</v>
      </c>
    </row>
    <row r="87" spans="1:10" ht="28.5" x14ac:dyDescent="0.25">
      <c r="A87" s="125">
        <v>1071</v>
      </c>
      <c r="B87" s="126" t="s">
        <v>1226</v>
      </c>
      <c r="C87" t="s">
        <v>16</v>
      </c>
      <c r="D87" t="s">
        <v>318</v>
      </c>
      <c r="F87" t="s">
        <v>326</v>
      </c>
      <c r="G87">
        <f t="shared" si="6"/>
        <v>1071</v>
      </c>
      <c r="H87" t="str">
        <f t="shared" si="7"/>
        <v>`     It's easy to reach out for help with gcash</v>
      </c>
      <c r="I87" t="s">
        <v>522</v>
      </c>
      <c r="J87" t="str">
        <f t="shared" si="8"/>
        <v>&lt;G1P&gt;`     It's easy to reach out for help with gcash</v>
      </c>
    </row>
    <row r="88" spans="1:10" x14ac:dyDescent="0.25">
      <c r="A88" s="125">
        <v>1072</v>
      </c>
      <c r="B88" s="126" t="s">
        <v>1227</v>
      </c>
      <c r="C88" t="s">
        <v>16</v>
      </c>
      <c r="D88" t="s">
        <v>318</v>
      </c>
      <c r="F88" t="s">
        <v>326</v>
      </c>
      <c r="G88">
        <f t="shared" si="6"/>
        <v>1072</v>
      </c>
      <c r="H88" t="str">
        <f t="shared" si="7"/>
        <v>`     It is nice</v>
      </c>
      <c r="I88" t="s">
        <v>522</v>
      </c>
      <c r="J88" t="str">
        <f t="shared" si="8"/>
        <v>&lt;G1P&gt;`     It is nice</v>
      </c>
    </row>
    <row r="89" spans="1:10" x14ac:dyDescent="0.25">
      <c r="A89" s="125">
        <v>1073</v>
      </c>
      <c r="B89" s="126" t="s">
        <v>1228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Send to gcash if you want to help</v>
      </c>
      <c r="I89" t="s">
        <v>522</v>
      </c>
      <c r="J89" t="str">
        <f t="shared" si="8"/>
        <v>&lt;G1P&gt;`     Send to gcash if you want to help</v>
      </c>
    </row>
    <row r="90" spans="1:10" x14ac:dyDescent="0.25">
      <c r="A90" s="125">
        <v>1074</v>
      </c>
      <c r="B90" s="126" t="s">
        <v>1229</v>
      </c>
      <c r="C90" t="s">
        <v>16</v>
      </c>
      <c r="D90" t="s">
        <v>318</v>
      </c>
      <c r="F90" t="s">
        <v>326</v>
      </c>
      <c r="G90">
        <f t="shared" si="6"/>
        <v>1074</v>
      </c>
      <c r="H90" t="str">
        <f t="shared" si="7"/>
        <v>`     Just trust gcash</v>
      </c>
      <c r="I90" t="s">
        <v>522</v>
      </c>
      <c r="J90" t="str">
        <f t="shared" si="8"/>
        <v>&lt;G1P&gt;`     Just trust gcash</v>
      </c>
    </row>
    <row r="91" spans="1:10" x14ac:dyDescent="0.25">
      <c r="A91" s="125">
        <v>1075</v>
      </c>
      <c r="B91" s="126" t="s">
        <v>1230</v>
      </c>
      <c r="C91" t="s">
        <v>16</v>
      </c>
      <c r="D91" t="s">
        <v>318</v>
      </c>
      <c r="F91" t="s">
        <v>326</v>
      </c>
      <c r="G91">
        <f t="shared" si="6"/>
        <v>1075</v>
      </c>
      <c r="H91" t="str">
        <f t="shared" si="7"/>
        <v>`     Many gcash users</v>
      </c>
      <c r="I91" t="s">
        <v>522</v>
      </c>
      <c r="J91" t="str">
        <f t="shared" si="8"/>
        <v>&lt;G1P&gt;`     Many gcash users</v>
      </c>
    </row>
    <row r="92" spans="1:10" ht="28.5" x14ac:dyDescent="0.25">
      <c r="A92" s="125">
        <v>1077</v>
      </c>
      <c r="B92" s="126" t="s">
        <v>1231</v>
      </c>
      <c r="C92" t="s">
        <v>16</v>
      </c>
      <c r="D92" t="s">
        <v>318</v>
      </c>
      <c r="F92" t="s">
        <v>326</v>
      </c>
      <c r="G92">
        <f t="shared" si="6"/>
        <v>1077</v>
      </c>
      <c r="H92" t="str">
        <f t="shared" si="7"/>
        <v>`     Gcash help with people with dissabilities</v>
      </c>
      <c r="I92" t="s">
        <v>522</v>
      </c>
      <c r="J92" t="str">
        <f t="shared" si="8"/>
        <v>&lt;G1P&gt;`     Gcash help with people with dissabilities</v>
      </c>
    </row>
    <row r="93" spans="1:10" ht="28.5" x14ac:dyDescent="0.25">
      <c r="A93" s="125">
        <v>1078</v>
      </c>
      <c r="B93" s="126" t="s">
        <v>1232</v>
      </c>
      <c r="C93" t="s">
        <v>16</v>
      </c>
      <c r="D93" t="s">
        <v>318</v>
      </c>
      <c r="F93" t="s">
        <v>326</v>
      </c>
      <c r="G93">
        <f t="shared" si="6"/>
        <v>1078</v>
      </c>
      <c r="H93" t="str">
        <f t="shared" si="7"/>
        <v>`     No need to get outside if you have gcash</v>
      </c>
      <c r="I93" t="s">
        <v>522</v>
      </c>
      <c r="J93" t="str">
        <f t="shared" si="8"/>
        <v>&lt;G1P&gt;`     No need to get outside if you have gcash</v>
      </c>
    </row>
    <row r="94" spans="1:10" x14ac:dyDescent="0.25">
      <c r="A94" s="125">
        <v>1079</v>
      </c>
      <c r="B94" s="126" t="s">
        <v>1233</v>
      </c>
      <c r="C94" t="s">
        <v>16</v>
      </c>
      <c r="D94" t="s">
        <v>318</v>
      </c>
      <c r="F94" t="s">
        <v>326</v>
      </c>
      <c r="G94">
        <f t="shared" si="6"/>
        <v>1079</v>
      </c>
      <c r="H94" t="str">
        <f t="shared" si="7"/>
        <v>`     Unity and cooperation</v>
      </c>
      <c r="I94" t="s">
        <v>522</v>
      </c>
      <c r="J94" t="str">
        <f t="shared" si="8"/>
        <v>&lt;G1P&gt;`     Unity and cooperation</v>
      </c>
    </row>
    <row r="95" spans="1:10" x14ac:dyDescent="0.25">
      <c r="A95" s="125">
        <v>1080</v>
      </c>
      <c r="B95" s="126" t="s">
        <v>1234</v>
      </c>
      <c r="C95" t="s">
        <v>16</v>
      </c>
      <c r="D95" t="s">
        <v>318</v>
      </c>
      <c r="F95" t="s">
        <v>326</v>
      </c>
      <c r="G95">
        <f t="shared" si="6"/>
        <v>1080</v>
      </c>
      <c r="H95" t="str">
        <f t="shared" si="7"/>
        <v>`     Introduction to our country</v>
      </c>
      <c r="I95" t="s">
        <v>522</v>
      </c>
      <c r="J95" t="str">
        <f t="shared" si="8"/>
        <v>&lt;G1P&gt;`     Introduction to our country</v>
      </c>
    </row>
    <row r="96" spans="1:10" x14ac:dyDescent="0.25">
      <c r="A96" s="125">
        <v>1081</v>
      </c>
      <c r="B96" s="126" t="s">
        <v>1235</v>
      </c>
      <c r="C96" t="s">
        <v>16</v>
      </c>
      <c r="D96" t="s">
        <v>318</v>
      </c>
      <c r="F96" t="s">
        <v>326</v>
      </c>
      <c r="G96">
        <f t="shared" si="6"/>
        <v>1081</v>
      </c>
      <c r="H96" t="str">
        <f t="shared" si="7"/>
        <v>`     For sports</v>
      </c>
      <c r="I96" t="s">
        <v>522</v>
      </c>
      <c r="J96" t="str">
        <f t="shared" si="8"/>
        <v>&lt;G1P&gt;`     For sports</v>
      </c>
    </row>
    <row r="97" spans="1:10" x14ac:dyDescent="0.25">
      <c r="A97" s="125">
        <v>1082</v>
      </c>
      <c r="B97" s="126" t="s">
        <v>1236</v>
      </c>
      <c r="C97" t="s">
        <v>16</v>
      </c>
      <c r="D97" t="s">
        <v>318</v>
      </c>
      <c r="F97" t="s">
        <v>326</v>
      </c>
      <c r="G97">
        <f t="shared" si="6"/>
        <v>1082</v>
      </c>
      <c r="H97" t="str">
        <f t="shared" si="7"/>
        <v>`     Showing that they are happy</v>
      </c>
      <c r="I97" t="s">
        <v>522</v>
      </c>
      <c r="J97" t="str">
        <f t="shared" si="8"/>
        <v>&lt;G1P&gt;`     Showing that they are happy</v>
      </c>
    </row>
    <row r="98" spans="1:10" x14ac:dyDescent="0.25">
      <c r="A98" s="125">
        <v>1083</v>
      </c>
      <c r="B98" s="126" t="s">
        <v>1237</v>
      </c>
      <c r="C98" t="s">
        <v>16</v>
      </c>
      <c r="D98" t="s">
        <v>318</v>
      </c>
      <c r="F98" t="s">
        <v>326</v>
      </c>
      <c r="G98">
        <f t="shared" ref="G98:G110" si="9">IF(A98="","",A98)</f>
        <v>1083</v>
      </c>
      <c r="H98" t="str">
        <f t="shared" ref="H98:H110" si="10">_xlfn.CONCAT(D98,SUBSTITUTE(B98,"""","`"""),E98)</f>
        <v>`     PWD</v>
      </c>
      <c r="I98" t="s">
        <v>522</v>
      </c>
      <c r="J98" t="str">
        <f t="shared" ref="J98:J110" si="11">_xlfn.CONCAT(I98,H98)</f>
        <v>&lt;G1P&gt;`     PWD</v>
      </c>
    </row>
    <row r="99" spans="1:10" x14ac:dyDescent="0.25">
      <c r="A99" s="125">
        <v>1084</v>
      </c>
      <c r="B99" s="126" t="s">
        <v>1238</v>
      </c>
      <c r="C99" t="s">
        <v>16</v>
      </c>
      <c r="D99" t="s">
        <v>318</v>
      </c>
      <c r="F99" t="s">
        <v>326</v>
      </c>
      <c r="G99">
        <f t="shared" si="9"/>
        <v>1084</v>
      </c>
      <c r="H99" t="str">
        <f t="shared" si="10"/>
        <v>`     You can help using gcash</v>
      </c>
      <c r="I99" t="s">
        <v>522</v>
      </c>
      <c r="J99" t="str">
        <f t="shared" si="11"/>
        <v>&lt;G1P&gt;`     You can help using gcash</v>
      </c>
    </row>
    <row r="100" spans="1:10" x14ac:dyDescent="0.25">
      <c r="A100" s="125">
        <v>1085</v>
      </c>
      <c r="B100" s="126" t="s">
        <v>1239</v>
      </c>
      <c r="C100" t="s">
        <v>16</v>
      </c>
      <c r="D100" t="s">
        <v>318</v>
      </c>
      <c r="F100" t="s">
        <v>326</v>
      </c>
      <c r="G100">
        <f t="shared" si="9"/>
        <v>1085</v>
      </c>
      <c r="H100" t="str">
        <f t="shared" si="10"/>
        <v>`     With gcash life is good</v>
      </c>
      <c r="I100" t="s">
        <v>522</v>
      </c>
      <c r="J100" t="str">
        <f t="shared" si="11"/>
        <v>&lt;G1P&gt;`     With gcash life is good</v>
      </c>
    </row>
    <row r="101" spans="1:10" x14ac:dyDescent="0.25">
      <c r="A101" s="125">
        <v>1086</v>
      </c>
      <c r="B101" s="128" t="s">
        <v>1240</v>
      </c>
      <c r="C101" t="s">
        <v>16</v>
      </c>
      <c r="D101" t="s">
        <v>318</v>
      </c>
      <c r="F101" t="s">
        <v>326</v>
      </c>
      <c r="G101">
        <f t="shared" si="9"/>
        <v>1086</v>
      </c>
      <c r="H101" t="str">
        <f t="shared" si="10"/>
        <v>`     Gcash has goals</v>
      </c>
      <c r="I101" t="s">
        <v>522</v>
      </c>
      <c r="J101" t="str">
        <f t="shared" si="11"/>
        <v>&lt;G1P&gt;`     Gcash has goals</v>
      </c>
    </row>
    <row r="102" spans="1:10" x14ac:dyDescent="0.25">
      <c r="A102" s="125">
        <v>1087</v>
      </c>
      <c r="B102" s="128" t="s">
        <v>1241</v>
      </c>
      <c r="C102" t="s">
        <v>16</v>
      </c>
      <c r="D102" t="s">
        <v>318</v>
      </c>
      <c r="F102" t="s">
        <v>326</v>
      </c>
      <c r="G102">
        <f t="shared" si="9"/>
        <v>1087</v>
      </c>
      <c r="H102" t="str">
        <f t="shared" si="10"/>
        <v>`     Gcash can use anytime</v>
      </c>
      <c r="I102" t="s">
        <v>522</v>
      </c>
      <c r="J102" t="str">
        <f t="shared" si="11"/>
        <v>&lt;G1P&gt;`     Gcash can use anytime</v>
      </c>
    </row>
    <row r="103" spans="1:10" x14ac:dyDescent="0.25">
      <c r="A103" s="125">
        <v>1088</v>
      </c>
      <c r="B103" s="128" t="s">
        <v>1242</v>
      </c>
      <c r="C103" t="s">
        <v>16</v>
      </c>
      <c r="D103" t="s">
        <v>318</v>
      </c>
      <c r="F103" t="s">
        <v>326</v>
      </c>
      <c r="G103">
        <f t="shared" si="9"/>
        <v>1088</v>
      </c>
      <c r="H103" t="str">
        <f t="shared" si="10"/>
        <v>`     Use Gcash to help those more in need</v>
      </c>
      <c r="I103" t="s">
        <v>522</v>
      </c>
      <c r="J103" t="str">
        <f t="shared" si="11"/>
        <v>&lt;G1P&gt;`     Use Gcash to help those more in need</v>
      </c>
    </row>
    <row r="104" spans="1:10" x14ac:dyDescent="0.25">
      <c r="A104" s="125">
        <v>1090</v>
      </c>
      <c r="B104" s="128" t="s">
        <v>1243</v>
      </c>
      <c r="C104" t="s">
        <v>16</v>
      </c>
      <c r="D104" t="s">
        <v>318</v>
      </c>
      <c r="F104" t="s">
        <v>326</v>
      </c>
      <c r="G104">
        <f t="shared" si="9"/>
        <v>1090</v>
      </c>
      <c r="H104" t="str">
        <f t="shared" si="10"/>
        <v>`     Which can be done in a way with proper unity</v>
      </c>
      <c r="I104" t="s">
        <v>522</v>
      </c>
      <c r="J104" t="str">
        <f t="shared" si="11"/>
        <v>&lt;G1P&gt;`     Which can be done in a way with proper unity</v>
      </c>
    </row>
    <row r="105" spans="1:10" x14ac:dyDescent="0.25">
      <c r="A105" s="125">
        <v>1092</v>
      </c>
      <c r="B105" s="128" t="s">
        <v>1244</v>
      </c>
      <c r="C105" t="s">
        <v>16</v>
      </c>
      <c r="D105" t="s">
        <v>318</v>
      </c>
      <c r="F105" t="s">
        <v>326</v>
      </c>
      <c r="G105">
        <f t="shared" si="9"/>
        <v>1092</v>
      </c>
      <c r="H105" t="str">
        <f t="shared" si="10"/>
        <v>`     Always update on event</v>
      </c>
      <c r="I105" t="s">
        <v>521</v>
      </c>
      <c r="J105" t="str">
        <f t="shared" si="11"/>
        <v>&lt;G2E&gt;&lt;G1P&gt;`     Always update on event</v>
      </c>
    </row>
    <row r="106" spans="1:10" ht="15.75" x14ac:dyDescent="0.25">
      <c r="A106" s="116">
        <v>1089</v>
      </c>
      <c r="B106" s="103" t="s">
        <v>331</v>
      </c>
      <c r="C106" t="s">
        <v>6</v>
      </c>
      <c r="D106" t="s">
        <v>323</v>
      </c>
      <c r="E106" t="s">
        <v>322</v>
      </c>
      <c r="F106" t="s">
        <v>327</v>
      </c>
      <c r="G106">
        <f t="shared" si="9"/>
        <v>1089</v>
      </c>
      <c r="H106" t="str">
        <f t="shared" si="10"/>
        <v>`VAGUE (NET)&lt;Q&gt;</v>
      </c>
      <c r="J106" t="str">
        <f t="shared" si="11"/>
        <v>`VAGUE (NET)&lt;Q&gt;</v>
      </c>
    </row>
    <row r="107" spans="1:10" x14ac:dyDescent="0.25">
      <c r="A107" s="125">
        <v>1089</v>
      </c>
      <c r="B107" s="126" t="s">
        <v>784</v>
      </c>
      <c r="C107" t="s">
        <v>16</v>
      </c>
      <c r="D107" t="s">
        <v>318</v>
      </c>
      <c r="F107" t="s">
        <v>326</v>
      </c>
      <c r="G107">
        <f t="shared" si="9"/>
        <v>1089</v>
      </c>
      <c r="H107" t="str">
        <f t="shared" si="10"/>
        <v>`     It's okay</v>
      </c>
      <c r="J107" t="str">
        <f t="shared" si="11"/>
        <v>`     It's okay</v>
      </c>
    </row>
    <row r="108" spans="1:10" x14ac:dyDescent="0.25">
      <c r="A108" s="116">
        <v>9997</v>
      </c>
      <c r="B108" s="118" t="s">
        <v>336</v>
      </c>
      <c r="G108">
        <f t="shared" si="9"/>
        <v>9997</v>
      </c>
      <c r="H108" t="str">
        <f t="shared" si="10"/>
        <v>Don't know</v>
      </c>
      <c r="J108" t="str">
        <f t="shared" si="11"/>
        <v>Don't know</v>
      </c>
    </row>
    <row r="109" spans="1:10" x14ac:dyDescent="0.25">
      <c r="A109" s="116">
        <v>9999</v>
      </c>
      <c r="B109" s="118" t="s">
        <v>303</v>
      </c>
      <c r="G109">
        <f t="shared" si="9"/>
        <v>9999</v>
      </c>
      <c r="H109" t="str">
        <f t="shared" si="10"/>
        <v>None</v>
      </c>
      <c r="J109" t="str">
        <f t="shared" si="11"/>
        <v>None</v>
      </c>
    </row>
    <row r="110" spans="1:10" x14ac:dyDescent="0.25">
      <c r="A110" s="125">
        <v>9998</v>
      </c>
      <c r="B110" s="126" t="s">
        <v>1245</v>
      </c>
      <c r="G110">
        <f t="shared" si="9"/>
        <v>9998</v>
      </c>
      <c r="H110" t="str">
        <f t="shared" si="10"/>
        <v>Cant say</v>
      </c>
      <c r="J110" t="str">
        <f t="shared" si="11"/>
        <v>Cant say</v>
      </c>
    </row>
  </sheetData>
  <autoFilter ref="A1:C110" xr:uid="{A8FB6338-70BB-4843-902A-D31817297D7E}"/>
  <conditionalFormatting sqref="A106">
    <cfRule type="duplicateValues" dxfId="102" priority="9"/>
    <cfRule type="duplicateValues" dxfId="101" priority="10"/>
    <cfRule type="duplicateValues" dxfId="100" priority="11"/>
    <cfRule type="duplicateValues" dxfId="99" priority="12"/>
    <cfRule type="duplicateValues" dxfId="98" priority="13"/>
    <cfRule type="duplicateValues" dxfId="97" priority="14"/>
    <cfRule type="duplicateValues" dxfId="96" priority="15"/>
    <cfRule type="duplicateValues" dxfId="95" priority="16"/>
  </conditionalFormatting>
  <conditionalFormatting sqref="A107">
    <cfRule type="duplicateValues" dxfId="94" priority="1"/>
    <cfRule type="duplicateValues" dxfId="93" priority="2"/>
    <cfRule type="duplicateValues" dxfId="92" priority="3"/>
    <cfRule type="duplicateValues" dxfId="91" priority="4"/>
    <cfRule type="duplicateValues" dxfId="90" priority="5"/>
    <cfRule type="duplicateValues" dxfId="89" priority="6"/>
    <cfRule type="duplicateValues" dxfId="88" priority="7"/>
    <cfRule type="duplicateValues" dxfId="87" priority="8"/>
  </conditionalFormatting>
  <conditionalFormatting sqref="A108">
    <cfRule type="duplicateValues" dxfId="86" priority="19"/>
  </conditionalFormatting>
  <conditionalFormatting sqref="A109">
    <cfRule type="duplicateValues" dxfId="85" priority="18"/>
  </conditionalFormatting>
  <conditionalFormatting sqref="A110 A1:A105">
    <cfRule type="duplicateValues" dxfId="84" priority="517"/>
  </conditionalFormatting>
  <conditionalFormatting sqref="A108:A110 A1:A105">
    <cfRule type="duplicateValues" dxfId="83" priority="522"/>
  </conditionalFormatting>
  <conditionalFormatting sqref="A108:A110 A1:A105">
    <cfRule type="duplicateValues" dxfId="82" priority="524"/>
    <cfRule type="duplicateValues" dxfId="81" priority="525"/>
    <cfRule type="duplicateValues" dxfId="80" priority="526"/>
    <cfRule type="duplicateValues" dxfId="79" priority="527"/>
    <cfRule type="duplicateValues" dxfId="78" priority="528"/>
  </conditionalFormatting>
  <conditionalFormatting sqref="B108:B110 B1:B100">
    <cfRule type="duplicateValues" dxfId="77" priority="535"/>
    <cfRule type="duplicateValues" dxfId="76" priority="536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dimension ref="A1:J112"/>
  <sheetViews>
    <sheetView topLeftCell="A75" workbookViewId="0">
      <selection activeCell="G1" sqref="G1:I112"/>
    </sheetView>
  </sheetViews>
  <sheetFormatPr defaultRowHeight="15" x14ac:dyDescent="0.25"/>
  <cols>
    <col min="1" max="1" width="45.7109375" customWidth="1"/>
    <col min="2" max="2" width="58.2851562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16" t="s">
        <v>1345</v>
      </c>
      <c r="B2" s="117" t="s">
        <v>1255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</v>
      </c>
      <c r="H2" t="str">
        <f t="shared" ref="H2:H33" si="1">_xlfn.CONCAT(D2,SUBSTITUTE(B2,"""","`"""),E2)</f>
        <v>`GCASH IS RELIABLE WHEN IN NEED FOR A LOAN (NET)&lt;Q&gt;</v>
      </c>
      <c r="I2" t="s">
        <v>518</v>
      </c>
      <c r="J2" t="str">
        <f t="shared" ref="J2:J33" si="2">_xlfn.CONCAT(I2,H2)</f>
        <v>&lt;G1B&gt;`GCASH IS RELIABLE WHEN IN NEED FOR A LOAN (NET)&lt;Q&gt;</v>
      </c>
    </row>
    <row r="3" spans="1:10" ht="28.5" x14ac:dyDescent="0.25">
      <c r="A3" s="116">
        <v>1001</v>
      </c>
      <c r="B3" s="118" t="s">
        <v>1256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In times of need or emergencies, you can rely on GCash for a loan</v>
      </c>
      <c r="I3" t="s">
        <v>520</v>
      </c>
      <c r="J3" t="str">
        <f t="shared" si="2"/>
        <v>&lt;G2B&gt;&lt;G1P&gt;`     In times of need or emergencies, you can rely on GCash for a loan</v>
      </c>
    </row>
    <row r="4" spans="1:10" ht="28.5" x14ac:dyDescent="0.25">
      <c r="A4" s="116">
        <v>1002</v>
      </c>
      <c r="B4" s="118" t="s">
        <v>1257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You won’t run out of water anymore because you can borrow money from GCash using GCredit</v>
      </c>
      <c r="I4" t="s">
        <v>521</v>
      </c>
      <c r="J4" t="str">
        <f t="shared" si="2"/>
        <v>&lt;G2E&gt;&lt;G1P&gt;`     You won’t run out of water anymore because you can borrow money from GCash using GCredit</v>
      </c>
    </row>
    <row r="5" spans="1:10" ht="28.5" x14ac:dyDescent="0.25">
      <c r="A5" s="116" t="s">
        <v>1346</v>
      </c>
      <c r="B5" s="117" t="s">
        <v>1258</v>
      </c>
      <c r="C5" t="s">
        <v>6</v>
      </c>
      <c r="D5" t="s">
        <v>323</v>
      </c>
      <c r="E5" t="s">
        <v>322</v>
      </c>
      <c r="F5" t="s">
        <v>327</v>
      </c>
      <c r="G5" t="str">
        <f t="shared" si="0"/>
        <v>1003+1004+1005+1006+1036+1056+1057+1053</v>
      </c>
      <c r="H5" t="str">
        <f t="shared" si="1"/>
        <v>`CAN BORROW FROM GCASH TO PAY BILLS (NET)&lt;Q&gt;</v>
      </c>
      <c r="J5" t="str">
        <f t="shared" si="2"/>
        <v>`CAN BORROW FROM GCASH TO PAY BILLS (NET)&lt;Q&gt;</v>
      </c>
    </row>
    <row r="6" spans="1:10" x14ac:dyDescent="0.25">
      <c r="A6" s="116">
        <v>1003</v>
      </c>
      <c r="B6" s="118" t="s">
        <v>1259</v>
      </c>
      <c r="C6" t="s">
        <v>16</v>
      </c>
      <c r="D6" t="s">
        <v>318</v>
      </c>
      <c r="F6" t="s">
        <v>326</v>
      </c>
      <c r="G6">
        <f t="shared" si="0"/>
        <v>1003</v>
      </c>
      <c r="H6" t="str">
        <f t="shared" si="1"/>
        <v>`     Can use GCash loan to pay bills</v>
      </c>
      <c r="I6" t="s">
        <v>520</v>
      </c>
      <c r="J6" t="str">
        <f t="shared" si="2"/>
        <v>&lt;G2B&gt;&lt;G1P&gt;`     Can use GCash loan to pay bills</v>
      </c>
    </row>
    <row r="7" spans="1:10" x14ac:dyDescent="0.25">
      <c r="A7" s="116">
        <v>1004</v>
      </c>
      <c r="B7" s="118" t="s">
        <v>1260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Need to borrow from GCash to pay water bills</v>
      </c>
      <c r="I7" t="s">
        <v>522</v>
      </c>
      <c r="J7" t="str">
        <f t="shared" si="2"/>
        <v>&lt;G1P&gt;`     Need to borrow from GCash to pay water bills</v>
      </c>
    </row>
    <row r="8" spans="1:10" x14ac:dyDescent="0.25">
      <c r="A8" s="116">
        <v>1005</v>
      </c>
      <c r="B8" s="118" t="s">
        <v>1261</v>
      </c>
      <c r="C8" t="s">
        <v>16</v>
      </c>
      <c r="D8" t="s">
        <v>318</v>
      </c>
      <c r="F8" t="s">
        <v>326</v>
      </c>
      <c r="G8">
        <f t="shared" si="0"/>
        <v>1005</v>
      </c>
      <c r="H8" t="str">
        <f t="shared" si="1"/>
        <v>`     Can borrow from GCredit  to pay for water bills</v>
      </c>
      <c r="I8" t="s">
        <v>522</v>
      </c>
      <c r="J8" t="str">
        <f t="shared" si="2"/>
        <v>&lt;G1P&gt;`     Can borrow from GCredit  to pay for water bills</v>
      </c>
    </row>
    <row r="9" spans="1:10" x14ac:dyDescent="0.25">
      <c r="A9" s="116">
        <v>1006</v>
      </c>
      <c r="B9" s="118" t="s">
        <v>1262</v>
      </c>
      <c r="C9" t="s">
        <v>16</v>
      </c>
      <c r="D9" t="s">
        <v>318</v>
      </c>
      <c r="F9" t="s">
        <v>326</v>
      </c>
      <c r="G9">
        <f t="shared" si="0"/>
        <v>1006</v>
      </c>
      <c r="H9" t="str">
        <f t="shared" si="1"/>
        <v>`     Can borrow money from GCredit to pay for bills</v>
      </c>
      <c r="I9" t="s">
        <v>522</v>
      </c>
      <c r="J9" t="str">
        <f t="shared" si="2"/>
        <v>&lt;G1P&gt;`     Can borrow money from GCredit to pay for bills</v>
      </c>
    </row>
    <row r="10" spans="1:10" x14ac:dyDescent="0.25">
      <c r="A10" s="123">
        <v>1036</v>
      </c>
      <c r="B10" s="124" t="s">
        <v>1263</v>
      </c>
      <c r="C10" t="s">
        <v>16</v>
      </c>
      <c r="D10" t="s">
        <v>318</v>
      </c>
      <c r="F10" t="s">
        <v>326</v>
      </c>
      <c r="G10">
        <f t="shared" si="0"/>
        <v>1036</v>
      </c>
      <c r="H10" t="str">
        <f t="shared" si="1"/>
        <v>`     Can borrow from GCredit to pay for electricity bills</v>
      </c>
      <c r="I10" t="s">
        <v>522</v>
      </c>
      <c r="J10" t="str">
        <f t="shared" si="2"/>
        <v>&lt;G1P&gt;`     Can borrow from GCredit to pay for electricity bills</v>
      </c>
    </row>
    <row r="11" spans="1:10" x14ac:dyDescent="0.25">
      <c r="A11" s="123">
        <v>1056</v>
      </c>
      <c r="B11" s="124" t="s">
        <v>1264</v>
      </c>
      <c r="C11" t="s">
        <v>16</v>
      </c>
      <c r="D11" t="s">
        <v>318</v>
      </c>
      <c r="F11" t="s">
        <v>326</v>
      </c>
      <c r="G11">
        <f t="shared" si="0"/>
        <v>1056</v>
      </c>
      <c r="H11" t="str">
        <f t="shared" si="1"/>
        <v>`     To pay for electricity you use GLoan</v>
      </c>
      <c r="I11" t="s">
        <v>522</v>
      </c>
      <c r="J11" t="str">
        <f t="shared" si="2"/>
        <v>&lt;G1P&gt;`     To pay for electricity you use GLoan</v>
      </c>
    </row>
    <row r="12" spans="1:10" x14ac:dyDescent="0.25">
      <c r="A12" s="123">
        <v>1057</v>
      </c>
      <c r="B12" s="124" t="s">
        <v>1265</v>
      </c>
      <c r="C12" t="s">
        <v>16</v>
      </c>
      <c r="D12" t="s">
        <v>318</v>
      </c>
      <c r="F12" t="s">
        <v>326</v>
      </c>
      <c r="G12">
        <f t="shared" si="0"/>
        <v>1057</v>
      </c>
      <c r="H12" t="str">
        <f t="shared" si="1"/>
        <v>`     To pay for water you use GLoan</v>
      </c>
      <c r="I12" t="s">
        <v>522</v>
      </c>
      <c r="J12" t="str">
        <f t="shared" si="2"/>
        <v>&lt;G1P&gt;`     To pay for water you use GLoan</v>
      </c>
    </row>
    <row r="13" spans="1:10" x14ac:dyDescent="0.25">
      <c r="A13" s="123">
        <v>1053</v>
      </c>
      <c r="B13" s="124" t="s">
        <v>1266</v>
      </c>
      <c r="C13" t="s">
        <v>16</v>
      </c>
      <c r="D13" t="s">
        <v>318</v>
      </c>
      <c r="F13" t="s">
        <v>326</v>
      </c>
      <c r="G13">
        <f t="shared" si="0"/>
        <v>1053</v>
      </c>
      <c r="H13" t="str">
        <f t="shared" si="1"/>
        <v>`     Had a water line cut and they used GCash for Credit</v>
      </c>
      <c r="I13" t="s">
        <v>521</v>
      </c>
      <c r="J13" t="str">
        <f t="shared" si="2"/>
        <v>&lt;G2E&gt;&lt;G1P&gt;`     Had a water line cut and they used GCash for Credit</v>
      </c>
    </row>
    <row r="14" spans="1:10" ht="28.5" x14ac:dyDescent="0.25">
      <c r="A14" s="116" t="s">
        <v>1347</v>
      </c>
      <c r="B14" s="117" t="s">
        <v>1267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1007+1010+1011+1025+1026+1028+1031+1034+1050+1032+1035+1074</v>
      </c>
      <c r="H14" t="str">
        <f t="shared" si="1"/>
        <v>`GCREDIT (NET)&lt;Q&gt;</v>
      </c>
      <c r="J14" t="str">
        <f t="shared" si="2"/>
        <v>`GCREDIT (NET)&lt;Q&gt;</v>
      </c>
    </row>
    <row r="15" spans="1:10" x14ac:dyDescent="0.25">
      <c r="A15" s="116">
        <v>1007</v>
      </c>
      <c r="B15" s="118" t="s">
        <v>1268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Can borrow money from GCash using GCredit</v>
      </c>
      <c r="I15" t="s">
        <v>520</v>
      </c>
      <c r="J15" t="str">
        <f t="shared" si="2"/>
        <v>&lt;G2B&gt;&lt;G1P&gt;`     Can borrow money from GCash using GCredit</v>
      </c>
    </row>
    <row r="16" spans="1:10" x14ac:dyDescent="0.25">
      <c r="A16" s="116">
        <v>1010</v>
      </c>
      <c r="B16" s="118" t="s">
        <v>1269</v>
      </c>
      <c r="C16" t="s">
        <v>16</v>
      </c>
      <c r="D16" t="s">
        <v>318</v>
      </c>
      <c r="F16" t="s">
        <v>326</v>
      </c>
      <c r="G16">
        <f t="shared" si="0"/>
        <v>1010</v>
      </c>
      <c r="H16" t="str">
        <f t="shared" si="1"/>
        <v>`     Can use GCredit any time</v>
      </c>
      <c r="I16" t="s">
        <v>522</v>
      </c>
      <c r="J16" t="str">
        <f t="shared" si="2"/>
        <v>&lt;G1P&gt;`     Can use GCredit any time</v>
      </c>
    </row>
    <row r="17" spans="1:10" x14ac:dyDescent="0.25">
      <c r="A17" s="116">
        <v>1011</v>
      </c>
      <c r="B17" s="118" t="s">
        <v>1270</v>
      </c>
      <c r="C17" t="s">
        <v>16</v>
      </c>
      <c r="D17" t="s">
        <v>318</v>
      </c>
      <c r="F17" t="s">
        <v>326</v>
      </c>
      <c r="G17">
        <f t="shared" si="0"/>
        <v>1011</v>
      </c>
      <c r="H17" t="str">
        <f t="shared" si="1"/>
        <v>`     GCredit</v>
      </c>
      <c r="I17" t="s">
        <v>522</v>
      </c>
      <c r="J17" t="str">
        <f t="shared" si="2"/>
        <v>&lt;G1P&gt;`     GCredit</v>
      </c>
    </row>
    <row r="18" spans="1:10" x14ac:dyDescent="0.25">
      <c r="A18" s="123">
        <v>1025</v>
      </c>
      <c r="B18" s="124" t="s">
        <v>1271</v>
      </c>
      <c r="C18" t="s">
        <v>16</v>
      </c>
      <c r="D18" t="s">
        <v>318</v>
      </c>
      <c r="F18" t="s">
        <v>326</v>
      </c>
      <c r="G18">
        <f t="shared" si="0"/>
        <v>1025</v>
      </c>
      <c r="H18" t="str">
        <f t="shared" si="1"/>
        <v>`     In GCredit</v>
      </c>
      <c r="I18" t="s">
        <v>522</v>
      </c>
      <c r="J18" t="str">
        <f t="shared" si="2"/>
        <v>&lt;G1P&gt;`     In GCredit</v>
      </c>
    </row>
    <row r="19" spans="1:10" x14ac:dyDescent="0.25">
      <c r="A19" s="123">
        <v>1026</v>
      </c>
      <c r="B19" s="124" t="s">
        <v>1272</v>
      </c>
      <c r="C19" t="s">
        <v>16</v>
      </c>
      <c r="D19" t="s">
        <v>318</v>
      </c>
      <c r="F19" t="s">
        <v>326</v>
      </c>
      <c r="G19">
        <f t="shared" si="0"/>
        <v>1026</v>
      </c>
      <c r="H19" t="str">
        <f t="shared" si="1"/>
        <v>`     Borrow in GCredit</v>
      </c>
      <c r="I19" t="s">
        <v>522</v>
      </c>
      <c r="J19" t="str">
        <f t="shared" si="2"/>
        <v>&lt;G1P&gt;`     Borrow in GCredit</v>
      </c>
    </row>
    <row r="20" spans="1:10" x14ac:dyDescent="0.25">
      <c r="A20" s="123">
        <v>1028</v>
      </c>
      <c r="B20" s="124" t="s">
        <v>1273</v>
      </c>
      <c r="C20" t="s">
        <v>16</v>
      </c>
      <c r="D20" t="s">
        <v>318</v>
      </c>
      <c r="F20" t="s">
        <v>326</v>
      </c>
      <c r="G20">
        <f t="shared" si="0"/>
        <v>1028</v>
      </c>
      <c r="H20" t="str">
        <f t="shared" si="1"/>
        <v>`     GCredit is easy to borrow when there is an emergency</v>
      </c>
      <c r="I20" t="s">
        <v>522</v>
      </c>
      <c r="J20" t="str">
        <f t="shared" si="2"/>
        <v>&lt;G1P&gt;`     GCredit is easy to borrow when there is an emergency</v>
      </c>
    </row>
    <row r="21" spans="1:10" x14ac:dyDescent="0.25">
      <c r="A21" s="123">
        <v>1031</v>
      </c>
      <c r="B21" s="124" t="s">
        <v>1274</v>
      </c>
      <c r="C21" t="s">
        <v>16</v>
      </c>
      <c r="D21" t="s">
        <v>318</v>
      </c>
      <c r="F21" t="s">
        <v>326</v>
      </c>
      <c r="G21">
        <f t="shared" si="0"/>
        <v>1031</v>
      </c>
      <c r="H21" t="str">
        <f t="shared" si="1"/>
        <v>`     GCredit can be used with GCash</v>
      </c>
      <c r="I21" t="s">
        <v>522</v>
      </c>
      <c r="J21" t="str">
        <f t="shared" si="2"/>
        <v>&lt;G1P&gt;`     GCredit can be used with GCash</v>
      </c>
    </row>
    <row r="22" spans="1:10" x14ac:dyDescent="0.25">
      <c r="A22" s="123">
        <v>1034</v>
      </c>
      <c r="B22" s="124" t="s">
        <v>1275</v>
      </c>
      <c r="C22" t="s">
        <v>16</v>
      </c>
      <c r="D22" t="s">
        <v>318</v>
      </c>
      <c r="F22" t="s">
        <v>326</v>
      </c>
      <c r="G22">
        <f t="shared" si="0"/>
        <v>1034</v>
      </c>
      <c r="H22" t="str">
        <f t="shared" si="1"/>
        <v>`     GCredit can borrow cash</v>
      </c>
      <c r="I22" t="s">
        <v>522</v>
      </c>
      <c r="J22" t="str">
        <f t="shared" si="2"/>
        <v>&lt;G1P&gt;`     GCredit can borrow cash</v>
      </c>
    </row>
    <row r="23" spans="1:10" x14ac:dyDescent="0.25">
      <c r="A23" s="123">
        <v>1050</v>
      </c>
      <c r="B23" s="124" t="s">
        <v>1276</v>
      </c>
      <c r="C23" t="s">
        <v>16</v>
      </c>
      <c r="D23" t="s">
        <v>318</v>
      </c>
      <c r="F23" t="s">
        <v>326</v>
      </c>
      <c r="G23">
        <f t="shared" si="0"/>
        <v>1050</v>
      </c>
      <c r="H23" t="str">
        <f t="shared" si="1"/>
        <v>`     Gives GCredit</v>
      </c>
      <c r="I23" t="s">
        <v>522</v>
      </c>
      <c r="J23" t="str">
        <f t="shared" si="2"/>
        <v>&lt;G1P&gt;`     Gives GCredit</v>
      </c>
    </row>
    <row r="24" spans="1:10" x14ac:dyDescent="0.25">
      <c r="A24" s="123">
        <v>1032</v>
      </c>
      <c r="B24" s="124" t="s">
        <v>1277</v>
      </c>
      <c r="C24" t="s">
        <v>16</v>
      </c>
      <c r="D24" t="s">
        <v>318</v>
      </c>
      <c r="F24" t="s">
        <v>326</v>
      </c>
      <c r="G24">
        <f t="shared" si="0"/>
        <v>1032</v>
      </c>
      <c r="H24" t="str">
        <f t="shared" si="1"/>
        <v>`     GCredit is easy with GCash</v>
      </c>
      <c r="I24" t="s">
        <v>522</v>
      </c>
      <c r="J24" t="str">
        <f t="shared" si="2"/>
        <v>&lt;G1P&gt;`     GCredit is easy with GCash</v>
      </c>
    </row>
    <row r="25" spans="1:10" x14ac:dyDescent="0.25">
      <c r="A25" s="123">
        <v>1035</v>
      </c>
      <c r="B25" s="124" t="s">
        <v>1278</v>
      </c>
      <c r="C25" t="s">
        <v>16</v>
      </c>
      <c r="D25" t="s">
        <v>318</v>
      </c>
      <c r="F25" t="s">
        <v>326</v>
      </c>
      <c r="G25">
        <f t="shared" si="0"/>
        <v>1035</v>
      </c>
      <c r="H25" t="str">
        <f t="shared" si="1"/>
        <v>`     In times of need, borrow from GCredit</v>
      </c>
      <c r="I25" t="s">
        <v>522</v>
      </c>
      <c r="J25" t="str">
        <f t="shared" si="2"/>
        <v>&lt;G1P&gt;`     In times of need, borrow from GCredit</v>
      </c>
    </row>
    <row r="26" spans="1:10" x14ac:dyDescent="0.25">
      <c r="A26" s="129">
        <v>1074</v>
      </c>
      <c r="B26" s="130" t="s">
        <v>1279</v>
      </c>
      <c r="C26" t="s">
        <v>16</v>
      </c>
      <c r="D26" t="s">
        <v>318</v>
      </c>
      <c r="F26" t="s">
        <v>326</v>
      </c>
      <c r="G26">
        <f t="shared" si="0"/>
        <v>1074</v>
      </c>
      <c r="H26" t="str">
        <f t="shared" si="1"/>
        <v>`     Today Gcredit</v>
      </c>
      <c r="I26" t="s">
        <v>521</v>
      </c>
      <c r="J26" t="str">
        <f t="shared" si="2"/>
        <v>&lt;G2E&gt;&lt;G1P&gt;`     Today Gcredit</v>
      </c>
    </row>
    <row r="27" spans="1:10" ht="15.75" x14ac:dyDescent="0.25">
      <c r="A27" s="116" t="s">
        <v>1348</v>
      </c>
      <c r="B27" s="117" t="s">
        <v>1280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1067+1068+1069+1070+1071+1072+1081</v>
      </c>
      <c r="H27" t="str">
        <f t="shared" si="1"/>
        <v>`GLOAN (NET)&lt;Q&gt;</v>
      </c>
      <c r="J27" t="str">
        <f t="shared" si="2"/>
        <v>`GLOAN (NET)&lt;Q&gt;</v>
      </c>
    </row>
    <row r="28" spans="1:10" x14ac:dyDescent="0.25">
      <c r="A28" s="129">
        <v>1067</v>
      </c>
      <c r="B28" s="130" t="s">
        <v>437</v>
      </c>
      <c r="C28" t="s">
        <v>16</v>
      </c>
      <c r="D28" t="s">
        <v>318</v>
      </c>
      <c r="F28" t="s">
        <v>326</v>
      </c>
      <c r="G28">
        <f t="shared" si="0"/>
        <v>1067</v>
      </c>
      <c r="H28" t="str">
        <f t="shared" si="1"/>
        <v>`     Gloan</v>
      </c>
      <c r="I28" t="s">
        <v>520</v>
      </c>
      <c r="J28" t="str">
        <f t="shared" si="2"/>
        <v>&lt;G2B&gt;&lt;G1P&gt;`     Gloan</v>
      </c>
    </row>
    <row r="29" spans="1:10" x14ac:dyDescent="0.25">
      <c r="A29" s="129">
        <v>1068</v>
      </c>
      <c r="B29" s="130" t="s">
        <v>1281</v>
      </c>
      <c r="C29" t="s">
        <v>16</v>
      </c>
      <c r="D29" t="s">
        <v>318</v>
      </c>
      <c r="F29" t="s">
        <v>326</v>
      </c>
      <c r="G29">
        <f t="shared" si="0"/>
        <v>1068</v>
      </c>
      <c r="H29" t="str">
        <f t="shared" si="1"/>
        <v>`     Gloan Credit</v>
      </c>
      <c r="I29" t="s">
        <v>522</v>
      </c>
      <c r="J29" t="str">
        <f t="shared" si="2"/>
        <v>&lt;G1P&gt;`     Gloan Credit</v>
      </c>
    </row>
    <row r="30" spans="1:10" x14ac:dyDescent="0.25">
      <c r="A30" s="129">
        <v>1069</v>
      </c>
      <c r="B30" s="130" t="s">
        <v>1282</v>
      </c>
      <c r="C30" t="s">
        <v>16</v>
      </c>
      <c r="D30" t="s">
        <v>318</v>
      </c>
      <c r="F30" t="s">
        <v>326</v>
      </c>
      <c r="G30">
        <f t="shared" si="0"/>
        <v>1069</v>
      </c>
      <c r="H30" t="str">
        <f t="shared" si="1"/>
        <v>`     Gloan Credit in Gcash</v>
      </c>
      <c r="I30" t="s">
        <v>522</v>
      </c>
      <c r="J30" t="str">
        <f t="shared" si="2"/>
        <v>&lt;G1P&gt;`     Gloan Credit in Gcash</v>
      </c>
    </row>
    <row r="31" spans="1:10" x14ac:dyDescent="0.25">
      <c r="A31" s="129">
        <v>1070</v>
      </c>
      <c r="B31" s="130" t="s">
        <v>1283</v>
      </c>
      <c r="C31" t="s">
        <v>16</v>
      </c>
      <c r="D31" t="s">
        <v>318</v>
      </c>
      <c r="F31" t="s">
        <v>326</v>
      </c>
      <c r="G31">
        <f t="shared" si="0"/>
        <v>1070</v>
      </c>
      <c r="H31" t="str">
        <f t="shared" si="1"/>
        <v>`     Gloan Water bill</v>
      </c>
      <c r="I31" t="s">
        <v>522</v>
      </c>
      <c r="J31" t="str">
        <f t="shared" si="2"/>
        <v>&lt;G1P&gt;`     Gloan Water bill</v>
      </c>
    </row>
    <row r="32" spans="1:10" x14ac:dyDescent="0.25">
      <c r="A32" s="129">
        <v>1071</v>
      </c>
      <c r="B32" s="130" t="s">
        <v>1284</v>
      </c>
      <c r="C32" t="s">
        <v>16</v>
      </c>
      <c r="D32" t="s">
        <v>318</v>
      </c>
      <c r="F32" t="s">
        <v>326</v>
      </c>
      <c r="G32">
        <f t="shared" si="0"/>
        <v>1071</v>
      </c>
      <c r="H32" t="str">
        <f t="shared" si="1"/>
        <v>`     Gloan easy to use for payment bills</v>
      </c>
      <c r="I32" t="s">
        <v>522</v>
      </c>
      <c r="J32" t="str">
        <f t="shared" si="2"/>
        <v>&lt;G1P&gt;`     Gloan easy to use for payment bills</v>
      </c>
    </row>
    <row r="33" spans="1:10" x14ac:dyDescent="0.25">
      <c r="A33" s="129">
        <v>1072</v>
      </c>
      <c r="B33" s="130" t="s">
        <v>1285</v>
      </c>
      <c r="C33" t="s">
        <v>16</v>
      </c>
      <c r="D33" t="s">
        <v>318</v>
      </c>
      <c r="F33" t="s">
        <v>326</v>
      </c>
      <c r="G33">
        <f t="shared" si="0"/>
        <v>1072</v>
      </c>
      <c r="H33" t="str">
        <f t="shared" si="1"/>
        <v>`     Instant Credit line by Gloan</v>
      </c>
      <c r="I33" t="s">
        <v>522</v>
      </c>
      <c r="J33" t="str">
        <f t="shared" si="2"/>
        <v>&lt;G1P&gt;`     Instant Credit line by Gloan</v>
      </c>
    </row>
    <row r="34" spans="1:10" x14ac:dyDescent="0.25">
      <c r="A34" s="129">
        <v>1081</v>
      </c>
      <c r="B34" s="130" t="s">
        <v>1286</v>
      </c>
      <c r="C34" t="s">
        <v>16</v>
      </c>
      <c r="D34" t="s">
        <v>318</v>
      </c>
      <c r="F34" t="s">
        <v>326</v>
      </c>
      <c r="G34">
        <f t="shared" ref="G34:G65" si="3">IF(A34="","",A34)</f>
        <v>1081</v>
      </c>
      <c r="H34" t="str">
        <f t="shared" ref="H34:H65" si="4">_xlfn.CONCAT(D34,SUBSTITUTE(B34,"""","`"""),E34)</f>
        <v>`     Gloan to Gcash</v>
      </c>
      <c r="I34" t="s">
        <v>521</v>
      </c>
      <c r="J34" t="str">
        <f t="shared" ref="J34:J65" si="5">_xlfn.CONCAT(I34,H34)</f>
        <v>&lt;G2E&gt;&lt;G1P&gt;`     Gloan to Gcash</v>
      </c>
    </row>
    <row r="35" spans="1:10" ht="28.5" x14ac:dyDescent="0.25">
      <c r="A35" s="116" t="s">
        <v>1349</v>
      </c>
      <c r="B35" s="117" t="s">
        <v>1287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1012+1013+1027+1029+1039+1043+1061+1063</v>
      </c>
      <c r="H35" t="str">
        <f t="shared" si="4"/>
        <v>`INSTANT LOANS FROM GCASH (NET)&lt;Q&gt;</v>
      </c>
      <c r="J35" t="str">
        <f t="shared" si="5"/>
        <v>`INSTANT LOANS FROM GCASH (NET)&lt;Q&gt;</v>
      </c>
    </row>
    <row r="36" spans="1:10" x14ac:dyDescent="0.25">
      <c r="A36" s="116">
        <v>1012</v>
      </c>
      <c r="B36" s="118" t="s">
        <v>1288</v>
      </c>
      <c r="C36" t="s">
        <v>16</v>
      </c>
      <c r="D36" t="s">
        <v>318</v>
      </c>
      <c r="F36" t="s">
        <v>326</v>
      </c>
      <c r="G36">
        <f t="shared" si="3"/>
        <v>1012</v>
      </c>
      <c r="H36" t="str">
        <f t="shared" si="4"/>
        <v>`     Can borrow instantly from GCash</v>
      </c>
      <c r="I36" t="s">
        <v>520</v>
      </c>
      <c r="J36" t="str">
        <f t="shared" si="5"/>
        <v>&lt;G2B&gt;&lt;G1P&gt;`     Can borrow instantly from GCash</v>
      </c>
    </row>
    <row r="37" spans="1:10" x14ac:dyDescent="0.25">
      <c r="A37" s="116">
        <v>1013</v>
      </c>
      <c r="B37" s="118" t="s">
        <v>1289</v>
      </c>
      <c r="C37" t="s">
        <v>16</v>
      </c>
      <c r="D37" t="s">
        <v>318</v>
      </c>
      <c r="F37" t="s">
        <v>326</v>
      </c>
      <c r="G37">
        <f t="shared" si="3"/>
        <v>1013</v>
      </c>
      <c r="H37" t="str">
        <f t="shared" si="4"/>
        <v>`     Instant loan from GCredit</v>
      </c>
      <c r="I37" t="s">
        <v>522</v>
      </c>
      <c r="J37" t="str">
        <f t="shared" si="5"/>
        <v>&lt;G1P&gt;`     Instant loan from GCredit</v>
      </c>
    </row>
    <row r="38" spans="1:10" x14ac:dyDescent="0.25">
      <c r="A38" s="123">
        <v>1027</v>
      </c>
      <c r="B38" s="124" t="s">
        <v>1290</v>
      </c>
      <c r="C38" t="s">
        <v>16</v>
      </c>
      <c r="D38" t="s">
        <v>318</v>
      </c>
      <c r="F38" t="s">
        <v>326</v>
      </c>
      <c r="G38">
        <f t="shared" si="3"/>
        <v>1027</v>
      </c>
      <c r="H38" t="str">
        <f t="shared" si="4"/>
        <v>`     Credits in GCash</v>
      </c>
      <c r="I38" t="s">
        <v>522</v>
      </c>
      <c r="J38" t="str">
        <f t="shared" si="5"/>
        <v>&lt;G1P&gt;`     Credits in GCash</v>
      </c>
    </row>
    <row r="39" spans="1:10" x14ac:dyDescent="0.25">
      <c r="A39" s="123">
        <v>1029</v>
      </c>
      <c r="B39" s="124" t="s">
        <v>1291</v>
      </c>
      <c r="C39" t="s">
        <v>16</v>
      </c>
      <c r="D39" t="s">
        <v>318</v>
      </c>
      <c r="F39" t="s">
        <v>326</v>
      </c>
      <c r="G39">
        <f t="shared" si="3"/>
        <v>1029</v>
      </c>
      <c r="H39" t="str">
        <f t="shared" si="4"/>
        <v>`     GCash loan</v>
      </c>
      <c r="I39" t="s">
        <v>522</v>
      </c>
      <c r="J39" t="str">
        <f t="shared" si="5"/>
        <v>&lt;G1P&gt;`     GCash loan</v>
      </c>
    </row>
    <row r="40" spans="1:10" x14ac:dyDescent="0.25">
      <c r="A40" s="123">
        <v>1039</v>
      </c>
      <c r="B40" s="124" t="s">
        <v>1292</v>
      </c>
      <c r="C40" t="s">
        <v>16</v>
      </c>
      <c r="D40" t="s">
        <v>318</v>
      </c>
      <c r="F40" t="s">
        <v>326</v>
      </c>
      <c r="G40">
        <f t="shared" si="3"/>
        <v>1039</v>
      </c>
      <c r="H40" t="str">
        <f t="shared" si="4"/>
        <v>`     Instant Credit line</v>
      </c>
      <c r="I40" t="s">
        <v>522</v>
      </c>
      <c r="J40" t="str">
        <f t="shared" si="5"/>
        <v>&lt;G1P&gt;`     Instant Credit line</v>
      </c>
    </row>
    <row r="41" spans="1:10" x14ac:dyDescent="0.25">
      <c r="A41" s="123">
        <v>1043</v>
      </c>
      <c r="B41" s="124" t="s">
        <v>1293</v>
      </c>
      <c r="C41" t="s">
        <v>16</v>
      </c>
      <c r="D41" t="s">
        <v>318</v>
      </c>
      <c r="F41" t="s">
        <v>326</v>
      </c>
      <c r="G41">
        <f t="shared" si="3"/>
        <v>1043</v>
      </c>
      <c r="H41" t="str">
        <f t="shared" si="4"/>
        <v>`     Fast process</v>
      </c>
      <c r="I41" t="s">
        <v>522</v>
      </c>
      <c r="J41" t="str">
        <f t="shared" si="5"/>
        <v>&lt;G1P&gt;`     Fast process</v>
      </c>
    </row>
    <row r="42" spans="1:10" x14ac:dyDescent="0.25">
      <c r="A42" s="123">
        <v>1061</v>
      </c>
      <c r="B42" s="124" t="s">
        <v>1277</v>
      </c>
      <c r="C42" t="s">
        <v>16</v>
      </c>
      <c r="D42" t="s">
        <v>318</v>
      </c>
      <c r="F42" t="s">
        <v>326</v>
      </c>
      <c r="G42">
        <f t="shared" si="3"/>
        <v>1061</v>
      </c>
      <c r="H42" t="str">
        <f t="shared" si="4"/>
        <v>`     GCredit is easy with GCash</v>
      </c>
      <c r="I42" t="s">
        <v>522</v>
      </c>
      <c r="J42" t="str">
        <f t="shared" si="5"/>
        <v>&lt;G1P&gt;`     GCredit is easy with GCash</v>
      </c>
    </row>
    <row r="43" spans="1:10" x14ac:dyDescent="0.25">
      <c r="A43" s="129">
        <v>1063</v>
      </c>
      <c r="B43" s="130" t="s">
        <v>1294</v>
      </c>
      <c r="C43" t="s">
        <v>16</v>
      </c>
      <c r="D43" t="s">
        <v>318</v>
      </c>
      <c r="F43" t="s">
        <v>326</v>
      </c>
      <c r="G43">
        <f t="shared" si="3"/>
        <v>1063</v>
      </c>
      <c r="H43" t="str">
        <f t="shared" si="4"/>
        <v>`     Borrow Gcash in Credit line</v>
      </c>
      <c r="I43" t="s">
        <v>521</v>
      </c>
      <c r="J43" t="str">
        <f t="shared" si="5"/>
        <v>&lt;G2E&gt;&lt;G1P&gt;`     Borrow Gcash in Credit line</v>
      </c>
    </row>
    <row r="44" spans="1:10" ht="15.75" x14ac:dyDescent="0.25">
      <c r="A44" s="116" t="s">
        <v>1350</v>
      </c>
      <c r="B44" s="117" t="s">
        <v>1295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1014+1075</v>
      </c>
      <c r="H44" t="str">
        <f t="shared" si="4"/>
        <v>`GCASH IS RELIABLE  (NET)&lt;Q&gt;</v>
      </c>
      <c r="J44" t="str">
        <f t="shared" si="5"/>
        <v>`GCASH IS RELIABLE  (NET)&lt;Q&gt;</v>
      </c>
    </row>
    <row r="45" spans="1:10" x14ac:dyDescent="0.25">
      <c r="A45" s="116">
        <v>1014</v>
      </c>
      <c r="B45" s="118" t="s">
        <v>1296</v>
      </c>
      <c r="C45" t="s">
        <v>16</v>
      </c>
      <c r="D45" t="s">
        <v>318</v>
      </c>
      <c r="F45" t="s">
        <v>326</v>
      </c>
      <c r="G45">
        <f t="shared" si="3"/>
        <v>1014</v>
      </c>
      <c r="H45" t="str">
        <f t="shared" si="4"/>
        <v>`     GCash is always reliable</v>
      </c>
      <c r="I45" t="s">
        <v>520</v>
      </c>
      <c r="J45" t="str">
        <f t="shared" si="5"/>
        <v>&lt;G2B&gt;&lt;G1P&gt;`     GCash is always reliable</v>
      </c>
    </row>
    <row r="46" spans="1:10" x14ac:dyDescent="0.25">
      <c r="A46" s="125">
        <v>1075</v>
      </c>
      <c r="B46" s="126" t="s">
        <v>1297</v>
      </c>
      <c r="C46" t="s">
        <v>16</v>
      </c>
      <c r="D46" t="s">
        <v>318</v>
      </c>
      <c r="F46" t="s">
        <v>326</v>
      </c>
      <c r="G46">
        <f t="shared" si="3"/>
        <v>1075</v>
      </c>
      <c r="H46" t="str">
        <f t="shared" si="4"/>
        <v>`     Relialable use of everyone</v>
      </c>
      <c r="I46" t="s">
        <v>521</v>
      </c>
      <c r="J46" t="str">
        <f t="shared" si="5"/>
        <v>&lt;G2E&gt;&lt;G1P&gt;`     Relialable use of everyone</v>
      </c>
    </row>
    <row r="47" spans="1:10" ht="15.75" x14ac:dyDescent="0.25">
      <c r="A47" s="116">
        <v>1066</v>
      </c>
      <c r="B47" s="117" t="s">
        <v>1298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1066</v>
      </c>
      <c r="H47" t="str">
        <f t="shared" si="4"/>
        <v>`GCREDIT IS RELIABLE  (NET)&lt;Q&gt;</v>
      </c>
      <c r="J47" t="str">
        <f t="shared" si="5"/>
        <v>`GCREDIT IS RELIABLE  (NET)&lt;Q&gt;</v>
      </c>
    </row>
    <row r="48" spans="1:10" x14ac:dyDescent="0.25">
      <c r="A48" s="125">
        <v>1066</v>
      </c>
      <c r="B48" s="126" t="s">
        <v>1299</v>
      </c>
      <c r="C48" t="s">
        <v>16</v>
      </c>
      <c r="D48" t="s">
        <v>318</v>
      </c>
      <c r="F48" t="s">
        <v>326</v>
      </c>
      <c r="G48">
        <f t="shared" si="3"/>
        <v>1066</v>
      </c>
      <c r="H48" t="str">
        <f t="shared" si="4"/>
        <v>`     GCredit is always reliable</v>
      </c>
      <c r="I48" t="s">
        <v>522</v>
      </c>
      <c r="J48" t="str">
        <f t="shared" si="5"/>
        <v>&lt;G1P&gt;`     GCredit is always reliable</v>
      </c>
    </row>
    <row r="49" spans="1:10" ht="15.75" x14ac:dyDescent="0.25">
      <c r="A49" s="116" t="s">
        <v>1351</v>
      </c>
      <c r="B49" s="117" t="s">
        <v>384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1015+1045+1046+1091</v>
      </c>
      <c r="H49" t="str">
        <f t="shared" si="4"/>
        <v>`CONVENIENCE (NET)&lt;Q&gt;</v>
      </c>
      <c r="J49" t="str">
        <f t="shared" si="5"/>
        <v>`CONVENIENCE (NET)&lt;Q&gt;</v>
      </c>
    </row>
    <row r="50" spans="1:10" ht="28.5" x14ac:dyDescent="0.25">
      <c r="A50" s="116">
        <v>1015</v>
      </c>
      <c r="B50" s="118" t="s">
        <v>1257</v>
      </c>
      <c r="C50" t="s">
        <v>16</v>
      </c>
      <c r="D50" t="s">
        <v>318</v>
      </c>
      <c r="F50" t="s">
        <v>326</v>
      </c>
      <c r="G50">
        <f t="shared" si="3"/>
        <v>1015</v>
      </c>
      <c r="H50" t="str">
        <f t="shared" si="4"/>
        <v>`     You won’t run out of water anymore because you can borrow money from GCash using GCredit</v>
      </c>
      <c r="I50" t="s">
        <v>520</v>
      </c>
      <c r="J50" t="str">
        <f t="shared" si="5"/>
        <v>&lt;G2B&gt;&lt;G1P&gt;`     You won’t run out of water anymore because you can borrow money from GCash using GCredit</v>
      </c>
    </row>
    <row r="51" spans="1:10" x14ac:dyDescent="0.25">
      <c r="A51" s="123">
        <v>1045</v>
      </c>
      <c r="B51" s="124" t="s">
        <v>1300</v>
      </c>
      <c r="C51" t="s">
        <v>16</v>
      </c>
      <c r="D51" t="s">
        <v>318</v>
      </c>
      <c r="F51" t="s">
        <v>326</v>
      </c>
      <c r="G51">
        <f t="shared" si="3"/>
        <v>1045</v>
      </c>
      <c r="H51" t="str">
        <f t="shared" si="4"/>
        <v>`     It's easier to pay for electricity</v>
      </c>
      <c r="I51" t="s">
        <v>522</v>
      </c>
      <c r="J51" t="str">
        <f t="shared" si="5"/>
        <v>&lt;G1P&gt;`     It's easier to pay for electricity</v>
      </c>
    </row>
    <row r="52" spans="1:10" x14ac:dyDescent="0.25">
      <c r="A52" s="123">
        <v>1046</v>
      </c>
      <c r="B52" s="124" t="s">
        <v>1301</v>
      </c>
      <c r="C52" t="s">
        <v>16</v>
      </c>
      <c r="D52" t="s">
        <v>318</v>
      </c>
      <c r="F52" t="s">
        <v>326</v>
      </c>
      <c r="G52">
        <f t="shared" si="3"/>
        <v>1046</v>
      </c>
      <c r="H52" t="str">
        <f t="shared" si="4"/>
        <v>`     No need to go outside</v>
      </c>
      <c r="I52" t="s">
        <v>522</v>
      </c>
      <c r="J52" t="str">
        <f t="shared" si="5"/>
        <v>&lt;G1P&gt;`     No need to go outside</v>
      </c>
    </row>
    <row r="53" spans="1:10" x14ac:dyDescent="0.25">
      <c r="A53" s="125">
        <v>1091</v>
      </c>
      <c r="B53" s="126" t="s">
        <v>1302</v>
      </c>
      <c r="C53" t="s">
        <v>16</v>
      </c>
      <c r="D53" t="s">
        <v>318</v>
      </c>
      <c r="F53" t="s">
        <v>326</v>
      </c>
      <c r="G53">
        <f t="shared" si="3"/>
        <v>1091</v>
      </c>
      <c r="H53" t="str">
        <f t="shared" si="4"/>
        <v>`     Gcash is very convenient</v>
      </c>
      <c r="I53" t="s">
        <v>521</v>
      </c>
      <c r="J53" t="str">
        <f t="shared" si="5"/>
        <v>&lt;G2E&gt;&lt;G1P&gt;`     Gcash is very convenient</v>
      </c>
    </row>
    <row r="54" spans="1:10" ht="15.75" x14ac:dyDescent="0.25">
      <c r="A54" s="116" t="s">
        <v>1352</v>
      </c>
      <c r="B54" s="117" t="s">
        <v>1303</v>
      </c>
      <c r="C54" t="s">
        <v>6</v>
      </c>
      <c r="D54" t="s">
        <v>323</v>
      </c>
      <c r="E54" t="s">
        <v>322</v>
      </c>
      <c r="F54" t="s">
        <v>327</v>
      </c>
      <c r="G54" t="str">
        <f t="shared" si="3"/>
        <v>1016+1017</v>
      </c>
      <c r="H54" t="str">
        <f t="shared" si="4"/>
        <v>`BORROW FROM GCASH (NET)&lt;Q&gt;</v>
      </c>
      <c r="J54" t="str">
        <f t="shared" si="5"/>
        <v>`BORROW FROM GCASH (NET)&lt;Q&gt;</v>
      </c>
    </row>
    <row r="55" spans="1:10" x14ac:dyDescent="0.25">
      <c r="A55" s="116">
        <v>1016</v>
      </c>
      <c r="B55" s="118" t="s">
        <v>1304</v>
      </c>
      <c r="C55" t="s">
        <v>16</v>
      </c>
      <c r="D55" t="s">
        <v>318</v>
      </c>
      <c r="F55" t="s">
        <v>326</v>
      </c>
      <c r="G55">
        <f t="shared" si="3"/>
        <v>1016</v>
      </c>
      <c r="H55" t="str">
        <f t="shared" si="4"/>
        <v>`     In times of need, borrow from GCash</v>
      </c>
      <c r="I55" t="s">
        <v>520</v>
      </c>
      <c r="J55" t="str">
        <f t="shared" si="5"/>
        <v>&lt;G2B&gt;&lt;G1P&gt;`     In times of need, borrow from GCash</v>
      </c>
    </row>
    <row r="56" spans="1:10" x14ac:dyDescent="0.25">
      <c r="A56" s="116">
        <v>1017</v>
      </c>
      <c r="B56" s="118" t="s">
        <v>1305</v>
      </c>
      <c r="C56" t="s">
        <v>16</v>
      </c>
      <c r="D56" t="s">
        <v>318</v>
      </c>
      <c r="F56" t="s">
        <v>326</v>
      </c>
      <c r="G56">
        <f t="shared" si="3"/>
        <v>1017</v>
      </c>
      <c r="H56" t="str">
        <f t="shared" si="4"/>
        <v>`     Can borrow from GCash</v>
      </c>
      <c r="I56" t="s">
        <v>521</v>
      </c>
      <c r="J56" t="str">
        <f t="shared" si="5"/>
        <v>&lt;G2E&gt;&lt;G1P&gt;`     Can borrow from GCash</v>
      </c>
    </row>
    <row r="57" spans="1:10" ht="15.75" x14ac:dyDescent="0.25">
      <c r="A57" s="116" t="s">
        <v>1353</v>
      </c>
      <c r="B57" s="117" t="s">
        <v>738</v>
      </c>
      <c r="C57" t="s">
        <v>6</v>
      </c>
      <c r="D57" t="s">
        <v>323</v>
      </c>
      <c r="E57" t="s">
        <v>322</v>
      </c>
      <c r="F57" t="s">
        <v>327</v>
      </c>
      <c r="G57" t="str">
        <f t="shared" si="3"/>
        <v>1018+1042+1033+1077</v>
      </c>
      <c r="H57" t="str">
        <f t="shared" si="4"/>
        <v>`EASE OF USE (NET)&lt;Q&gt;</v>
      </c>
      <c r="J57" t="str">
        <f t="shared" si="5"/>
        <v>`EASE OF USE (NET)&lt;Q&gt;</v>
      </c>
    </row>
    <row r="58" spans="1:10" x14ac:dyDescent="0.25">
      <c r="A58" s="116">
        <v>1018</v>
      </c>
      <c r="B58" s="118" t="s">
        <v>748</v>
      </c>
      <c r="C58" t="s">
        <v>16</v>
      </c>
      <c r="D58" t="s">
        <v>318</v>
      </c>
      <c r="F58" t="s">
        <v>326</v>
      </c>
      <c r="G58">
        <f t="shared" si="3"/>
        <v>1018</v>
      </c>
      <c r="H58" t="str">
        <f t="shared" si="4"/>
        <v>`     Easy to use GCash</v>
      </c>
      <c r="I58" t="s">
        <v>520</v>
      </c>
      <c r="J58" t="str">
        <f t="shared" si="5"/>
        <v>&lt;G2B&gt;&lt;G1P&gt;`     Easy to use GCash</v>
      </c>
    </row>
    <row r="59" spans="1:10" x14ac:dyDescent="0.25">
      <c r="A59" s="123">
        <v>1042</v>
      </c>
      <c r="B59" s="124" t="s">
        <v>1124</v>
      </c>
      <c r="C59" t="s">
        <v>16</v>
      </c>
      <c r="D59" t="s">
        <v>318</v>
      </c>
      <c r="F59" t="s">
        <v>326</v>
      </c>
      <c r="G59">
        <f t="shared" si="3"/>
        <v>1042</v>
      </c>
      <c r="H59" t="str">
        <f t="shared" si="4"/>
        <v>`     Easy to loan</v>
      </c>
      <c r="I59" t="s">
        <v>522</v>
      </c>
      <c r="J59" t="str">
        <f t="shared" si="5"/>
        <v>&lt;G1P&gt;`     Easy to loan</v>
      </c>
    </row>
    <row r="60" spans="1:10" x14ac:dyDescent="0.25">
      <c r="A60" s="123">
        <v>1033</v>
      </c>
      <c r="B60" s="124" t="s">
        <v>412</v>
      </c>
      <c r="C60" t="s">
        <v>16</v>
      </c>
      <c r="D60" t="s">
        <v>318</v>
      </c>
      <c r="F60" t="s">
        <v>326</v>
      </c>
      <c r="G60">
        <f t="shared" si="3"/>
        <v>1033</v>
      </c>
      <c r="H60" t="str">
        <f t="shared" si="4"/>
        <v>`     Fast transaction</v>
      </c>
      <c r="I60" t="s">
        <v>522</v>
      </c>
      <c r="J60" t="str">
        <f t="shared" si="5"/>
        <v>&lt;G1P&gt;`     Fast transaction</v>
      </c>
    </row>
    <row r="61" spans="1:10" x14ac:dyDescent="0.25">
      <c r="A61" s="125">
        <v>1077</v>
      </c>
      <c r="B61" s="126" t="s">
        <v>1306</v>
      </c>
      <c r="C61" t="s">
        <v>16</v>
      </c>
      <c r="D61" t="s">
        <v>318</v>
      </c>
      <c r="F61" t="s">
        <v>326</v>
      </c>
      <c r="G61">
        <f t="shared" si="3"/>
        <v>1077</v>
      </c>
      <c r="H61" t="str">
        <f t="shared" si="4"/>
        <v>`     Fast transaction using Gcredit</v>
      </c>
      <c r="I61" t="s">
        <v>521</v>
      </c>
      <c r="J61" t="str">
        <f t="shared" si="5"/>
        <v>&lt;G2E&gt;&lt;G1P&gt;`     Fast transaction using Gcredit</v>
      </c>
    </row>
    <row r="62" spans="1:10" ht="15.75" x14ac:dyDescent="0.25">
      <c r="A62" s="116" t="s">
        <v>1354</v>
      </c>
      <c r="B62" s="117" t="s">
        <v>1307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1019+1040+1041+1049+1058+1062</v>
      </c>
      <c r="H62" t="str">
        <f t="shared" si="4"/>
        <v>`CAN LOAN WHEN IN NEED OF CASH (NET)&lt;Q&gt;</v>
      </c>
      <c r="J62" t="str">
        <f t="shared" si="5"/>
        <v>`CAN LOAN WHEN IN NEED OF CASH (NET)&lt;Q&gt;</v>
      </c>
    </row>
    <row r="63" spans="1:10" x14ac:dyDescent="0.25">
      <c r="A63" s="116">
        <v>1019</v>
      </c>
      <c r="B63" s="118" t="s">
        <v>1308</v>
      </c>
      <c r="C63" t="s">
        <v>16</v>
      </c>
      <c r="D63" t="s">
        <v>318</v>
      </c>
      <c r="F63" t="s">
        <v>326</v>
      </c>
      <c r="G63">
        <f t="shared" si="3"/>
        <v>1019</v>
      </c>
      <c r="H63" t="str">
        <f t="shared" si="4"/>
        <v>`     Can loan when in need of cash</v>
      </c>
      <c r="I63" t="s">
        <v>520</v>
      </c>
      <c r="J63" t="str">
        <f t="shared" si="5"/>
        <v>&lt;G2B&gt;&lt;G1P&gt;`     Can loan when in need of cash</v>
      </c>
    </row>
    <row r="64" spans="1:10" x14ac:dyDescent="0.25">
      <c r="A64" s="123">
        <v>1040</v>
      </c>
      <c r="B64" s="124" t="s">
        <v>1309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In times of need for house expenses , GCash has loan offer</v>
      </c>
      <c r="I64" t="s">
        <v>522</v>
      </c>
      <c r="J64" t="str">
        <f t="shared" si="5"/>
        <v>&lt;G1P&gt;`     In times of need for house expenses , GCash has loan offer</v>
      </c>
    </row>
    <row r="65" spans="1:10" ht="28.5" x14ac:dyDescent="0.25">
      <c r="A65" s="123">
        <v>1041</v>
      </c>
      <c r="B65" s="124" t="s">
        <v>1310</v>
      </c>
      <c r="C65" t="s">
        <v>16</v>
      </c>
      <c r="D65" t="s">
        <v>318</v>
      </c>
      <c r="F65" t="s">
        <v>326</v>
      </c>
      <c r="G65">
        <f t="shared" si="3"/>
        <v>1041</v>
      </c>
      <c r="H65" t="str">
        <f t="shared" si="4"/>
        <v>`     Can borrow 1k to 50k with a GCash loan Credit loan to pay house bills</v>
      </c>
      <c r="I65" t="s">
        <v>522</v>
      </c>
      <c r="J65" t="str">
        <f t="shared" si="5"/>
        <v>&lt;G1P&gt;`     Can borrow 1k to 50k with a GCash loan Credit loan to pay house bills</v>
      </c>
    </row>
    <row r="66" spans="1:10" x14ac:dyDescent="0.25">
      <c r="A66" s="123">
        <v>1049</v>
      </c>
      <c r="B66" s="124" t="s">
        <v>1311</v>
      </c>
      <c r="C66" t="s">
        <v>16</v>
      </c>
      <c r="D66" t="s">
        <v>318</v>
      </c>
      <c r="F66" t="s">
        <v>326</v>
      </c>
      <c r="G66">
        <f t="shared" ref="G66:G97" si="6">IF(A66="","",A66)</f>
        <v>1049</v>
      </c>
      <c r="H66" t="str">
        <f t="shared" ref="H66:H97" si="7">_xlfn.CONCAT(D66,SUBSTITUTE(B66,"""","`"""),E66)</f>
        <v>`     Offering GCredit in times of needed</v>
      </c>
      <c r="I66" t="s">
        <v>522</v>
      </c>
      <c r="J66" t="str">
        <f t="shared" ref="J66:J97" si="8">_xlfn.CONCAT(I66,H66)</f>
        <v>&lt;G1P&gt;`     Offering GCredit in times of needed</v>
      </c>
    </row>
    <row r="67" spans="1:10" x14ac:dyDescent="0.25">
      <c r="A67" s="123">
        <v>1058</v>
      </c>
      <c r="B67" s="124" t="s">
        <v>1312</v>
      </c>
      <c r="C67" t="s">
        <v>16</v>
      </c>
      <c r="D67" t="s">
        <v>318</v>
      </c>
      <c r="F67" t="s">
        <v>326</v>
      </c>
      <c r="G67">
        <f t="shared" si="6"/>
        <v>1058</v>
      </c>
      <c r="H67" t="str">
        <f t="shared" si="7"/>
        <v>`     Borrow from GCash to not be cut off</v>
      </c>
      <c r="I67" t="s">
        <v>522</v>
      </c>
      <c r="J67" t="str">
        <f t="shared" si="8"/>
        <v>&lt;G1P&gt;`     Borrow from GCash to not be cut off</v>
      </c>
    </row>
    <row r="68" spans="1:10" x14ac:dyDescent="0.25">
      <c r="A68" s="123">
        <v>1062</v>
      </c>
      <c r="B68" s="124" t="s">
        <v>1278</v>
      </c>
      <c r="C68" t="s">
        <v>16</v>
      </c>
      <c r="D68" t="s">
        <v>318</v>
      </c>
      <c r="F68" t="s">
        <v>326</v>
      </c>
      <c r="G68">
        <f t="shared" si="6"/>
        <v>1062</v>
      </c>
      <c r="H68" t="str">
        <f t="shared" si="7"/>
        <v>`     In times of need, borrow from GCredit</v>
      </c>
      <c r="I68" t="s">
        <v>521</v>
      </c>
      <c r="J68" t="str">
        <f t="shared" si="8"/>
        <v>&lt;G2E&gt;&lt;G1P&gt;`     In times of need, borrow from GCredit</v>
      </c>
    </row>
    <row r="69" spans="1:10" ht="15.75" x14ac:dyDescent="0.25">
      <c r="A69" s="116">
        <v>1020</v>
      </c>
      <c r="B69" s="117" t="s">
        <v>1115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1020</v>
      </c>
      <c r="H69" t="str">
        <f t="shared" si="7"/>
        <v>`CAN USE GCASH FOR PAYMENT (NET)&lt;Q&gt;</v>
      </c>
      <c r="J69" t="str">
        <f t="shared" si="8"/>
        <v>`CAN USE GCASH FOR PAYMENT (NET)&lt;Q&gt;</v>
      </c>
    </row>
    <row r="70" spans="1:10" x14ac:dyDescent="0.25">
      <c r="A70" s="116">
        <v>1020</v>
      </c>
      <c r="B70" s="118" t="s">
        <v>1313</v>
      </c>
      <c r="C70" t="s">
        <v>16</v>
      </c>
      <c r="D70" t="s">
        <v>318</v>
      </c>
      <c r="F70" t="s">
        <v>326</v>
      </c>
      <c r="G70">
        <f t="shared" si="6"/>
        <v>1020</v>
      </c>
      <c r="H70" t="str">
        <f t="shared" si="7"/>
        <v>`     Can pay via GCash</v>
      </c>
      <c r="I70" t="s">
        <v>522</v>
      </c>
      <c r="J70" t="str">
        <f t="shared" si="8"/>
        <v>&lt;G1P&gt;`     Can pay via GCash</v>
      </c>
    </row>
    <row r="71" spans="1:10" ht="15.75" x14ac:dyDescent="0.25">
      <c r="A71" s="116" t="s">
        <v>1355</v>
      </c>
      <c r="B71" s="117" t="s">
        <v>1314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1021+1022</v>
      </c>
      <c r="H71" t="str">
        <f t="shared" si="7"/>
        <v>`HUMOR/ COMEDY (NET)&lt;Q&gt;</v>
      </c>
      <c r="J71" t="str">
        <f t="shared" si="8"/>
        <v>`HUMOR/ COMEDY (NET)&lt;Q&gt;</v>
      </c>
    </row>
    <row r="72" spans="1:10" x14ac:dyDescent="0.25">
      <c r="A72" s="116">
        <v>1021</v>
      </c>
      <c r="B72" s="118" t="s">
        <v>1315</v>
      </c>
      <c r="C72" t="s">
        <v>16</v>
      </c>
      <c r="D72" t="s">
        <v>318</v>
      </c>
      <c r="F72" t="s">
        <v>326</v>
      </c>
      <c r="G72">
        <f t="shared" si="6"/>
        <v>1021</v>
      </c>
      <c r="H72" t="str">
        <f t="shared" si="7"/>
        <v>`     Commercial is amusing, taking a bath using only a cup</v>
      </c>
      <c r="I72" t="s">
        <v>520</v>
      </c>
      <c r="J72" t="str">
        <f t="shared" si="8"/>
        <v>&lt;G2B&gt;&lt;G1P&gt;`     Commercial is amusing, taking a bath using only a cup</v>
      </c>
    </row>
    <row r="73" spans="1:10" x14ac:dyDescent="0.25">
      <c r="A73" s="116">
        <v>1022</v>
      </c>
      <c r="B73" s="118" t="s">
        <v>1316</v>
      </c>
      <c r="C73" t="s">
        <v>16</v>
      </c>
      <c r="D73" t="s">
        <v>318</v>
      </c>
      <c r="F73" t="s">
        <v>326</v>
      </c>
      <c r="G73">
        <f t="shared" si="6"/>
        <v>1022</v>
      </c>
      <c r="H73" t="str">
        <f t="shared" si="7"/>
        <v>`     Saving water, so only using a cup take a bath</v>
      </c>
      <c r="I73" t="s">
        <v>521</v>
      </c>
      <c r="J73" t="str">
        <f t="shared" si="8"/>
        <v>&lt;G2E&gt;&lt;G1P&gt;`     Saving water, so only using a cup take a bath</v>
      </c>
    </row>
    <row r="74" spans="1:10" ht="15.75" x14ac:dyDescent="0.25">
      <c r="A74" s="116">
        <v>1030</v>
      </c>
      <c r="B74" s="103" t="s">
        <v>764</v>
      </c>
      <c r="C74" t="s">
        <v>6</v>
      </c>
      <c r="D74" t="s">
        <v>323</v>
      </c>
      <c r="E74" t="s">
        <v>322</v>
      </c>
      <c r="F74" t="s">
        <v>327</v>
      </c>
      <c r="G74">
        <f t="shared" si="6"/>
        <v>1030</v>
      </c>
      <c r="H74" t="str">
        <f t="shared" si="7"/>
        <v>`GCASH PROMOTION (NET)&lt;Q&gt;</v>
      </c>
      <c r="J74" t="str">
        <f t="shared" si="8"/>
        <v>`GCASH PROMOTION (NET)&lt;Q&gt;</v>
      </c>
    </row>
    <row r="75" spans="1:10" x14ac:dyDescent="0.25">
      <c r="A75" s="123">
        <v>1030</v>
      </c>
      <c r="B75" s="124" t="s">
        <v>641</v>
      </c>
      <c r="C75" t="s">
        <v>16</v>
      </c>
      <c r="D75" t="s">
        <v>318</v>
      </c>
      <c r="F75" t="s">
        <v>326</v>
      </c>
      <c r="G75">
        <f t="shared" si="6"/>
        <v>1030</v>
      </c>
      <c r="H75" t="str">
        <f t="shared" si="7"/>
        <v>`     GCash</v>
      </c>
      <c r="I75" t="s">
        <v>522</v>
      </c>
      <c r="J75" t="str">
        <f t="shared" si="8"/>
        <v>&lt;G1P&gt;`     GCash</v>
      </c>
    </row>
    <row r="76" spans="1:10" ht="15.75" x14ac:dyDescent="0.25">
      <c r="A76" s="116" t="s">
        <v>1356</v>
      </c>
      <c r="B76" s="103" t="s">
        <v>1317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1038+1052</v>
      </c>
      <c r="H76" t="str">
        <f t="shared" si="7"/>
        <v>`CAN BORROW MONEY FROM GCASH (NET)&lt;Q&gt;</v>
      </c>
      <c r="J76" t="str">
        <f t="shared" si="8"/>
        <v>`CAN BORROW MONEY FROM GCASH (NET)&lt;Q&gt;</v>
      </c>
    </row>
    <row r="77" spans="1:10" x14ac:dyDescent="0.25">
      <c r="A77" s="123">
        <v>1038</v>
      </c>
      <c r="B77" s="124" t="s">
        <v>1318</v>
      </c>
      <c r="C77" t="s">
        <v>16</v>
      </c>
      <c r="D77" t="s">
        <v>318</v>
      </c>
      <c r="F77" t="s">
        <v>326</v>
      </c>
      <c r="G77">
        <f t="shared" si="6"/>
        <v>1038</v>
      </c>
      <c r="H77" t="str">
        <f t="shared" si="7"/>
        <v>`     Can credit on GCash</v>
      </c>
      <c r="I77" t="s">
        <v>520</v>
      </c>
      <c r="J77" t="str">
        <f t="shared" si="8"/>
        <v>&lt;G2B&gt;&lt;G1P&gt;`     Can credit on GCash</v>
      </c>
    </row>
    <row r="78" spans="1:10" x14ac:dyDescent="0.25">
      <c r="A78" s="123">
        <v>1052</v>
      </c>
      <c r="B78" s="124" t="s">
        <v>1319</v>
      </c>
      <c r="C78" t="s">
        <v>16</v>
      </c>
      <c r="D78" t="s">
        <v>318</v>
      </c>
      <c r="F78" t="s">
        <v>326</v>
      </c>
      <c r="G78">
        <f t="shared" si="6"/>
        <v>1052</v>
      </c>
      <c r="H78" t="str">
        <f t="shared" si="7"/>
        <v>`     Receive GCash loan</v>
      </c>
      <c r="I78" t="s">
        <v>521</v>
      </c>
      <c r="J78" t="str">
        <f t="shared" si="8"/>
        <v>&lt;G2E&gt;&lt;G1P&gt;`     Receive GCash loan</v>
      </c>
    </row>
    <row r="79" spans="1:10" ht="15.75" x14ac:dyDescent="0.25">
      <c r="A79" s="116">
        <v>1047</v>
      </c>
      <c r="B79" s="103" t="s">
        <v>1320</v>
      </c>
      <c r="C79" t="s">
        <v>6</v>
      </c>
      <c r="D79" t="s">
        <v>323</v>
      </c>
      <c r="E79" t="s">
        <v>322</v>
      </c>
      <c r="F79" t="s">
        <v>327</v>
      </c>
      <c r="G79">
        <f t="shared" si="6"/>
        <v>1047</v>
      </c>
      <c r="H79" t="str">
        <f t="shared" si="7"/>
        <v>`CAN HELP FOR DAILY EXPENSES (NET)&lt;Q&gt;</v>
      </c>
      <c r="I79" t="s">
        <v>519</v>
      </c>
      <c r="J79" t="str">
        <f t="shared" si="8"/>
        <v>&lt;G1E&gt;`CAN HELP FOR DAILY EXPENSES (NET)&lt;Q&gt;</v>
      </c>
    </row>
    <row r="80" spans="1:10" x14ac:dyDescent="0.25">
      <c r="A80" s="123">
        <v>1047</v>
      </c>
      <c r="B80" s="124" t="s">
        <v>1321</v>
      </c>
      <c r="C80" t="s">
        <v>16</v>
      </c>
      <c r="D80" t="s">
        <v>318</v>
      </c>
      <c r="F80" t="s">
        <v>326</v>
      </c>
      <c r="G80">
        <f t="shared" si="6"/>
        <v>1047</v>
      </c>
      <c r="H80" t="str">
        <f t="shared" si="7"/>
        <v>`     Helps for everyday expenses</v>
      </c>
      <c r="I80" t="s">
        <v>522</v>
      </c>
      <c r="J80" t="str">
        <f t="shared" si="8"/>
        <v>&lt;G1P&gt;`     Helps for everyday expenses</v>
      </c>
    </row>
    <row r="81" spans="1:10" ht="42.75" x14ac:dyDescent="0.25">
      <c r="A81" s="116" t="s">
        <v>1357</v>
      </c>
      <c r="B81" s="103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 t="shared" si="6"/>
        <v>1044+1048+1051+1054+1059+1060+1064+1073+1076+1078+1079+1080+1082+1084+1085+1086+1087+1088+1089+1090</v>
      </c>
      <c r="H81" t="str">
        <f t="shared" si="7"/>
        <v>`OTHERS (NET)&lt;Q&gt;</v>
      </c>
      <c r="J81" t="str">
        <f t="shared" si="8"/>
        <v>`OTHERS (NET)&lt;Q&gt;</v>
      </c>
    </row>
    <row r="82" spans="1:10" x14ac:dyDescent="0.25">
      <c r="A82" s="123">
        <v>1044</v>
      </c>
      <c r="B82" s="124" t="s">
        <v>1322</v>
      </c>
      <c r="C82" t="s">
        <v>16</v>
      </c>
      <c r="D82" t="s">
        <v>318</v>
      </c>
      <c r="F82" t="s">
        <v>326</v>
      </c>
      <c r="G82">
        <f t="shared" si="6"/>
        <v>1044</v>
      </c>
      <c r="H82" t="str">
        <f t="shared" si="7"/>
        <v>`     It's easier to pay GCash with Credit</v>
      </c>
      <c r="I82" t="s">
        <v>520</v>
      </c>
      <c r="J82" t="str">
        <f t="shared" si="8"/>
        <v>&lt;G2B&gt;&lt;G1P&gt;`     It's easier to pay GCash with Credit</v>
      </c>
    </row>
    <row r="83" spans="1:10" x14ac:dyDescent="0.25">
      <c r="A83" s="123">
        <v>1048</v>
      </c>
      <c r="B83" s="124" t="s">
        <v>1323</v>
      </c>
      <c r="C83" t="s">
        <v>16</v>
      </c>
      <c r="D83" t="s">
        <v>318</v>
      </c>
      <c r="F83" t="s">
        <v>326</v>
      </c>
      <c r="G83">
        <f t="shared" si="6"/>
        <v>1048</v>
      </c>
      <c r="H83" t="str">
        <f t="shared" si="7"/>
        <v>`     Solve the problem about money</v>
      </c>
      <c r="I83" t="s">
        <v>522</v>
      </c>
      <c r="J83" t="str">
        <f t="shared" si="8"/>
        <v>&lt;G1P&gt;`     Solve the problem about money</v>
      </c>
    </row>
    <row r="84" spans="1:10" x14ac:dyDescent="0.25">
      <c r="A84" s="123">
        <v>1051</v>
      </c>
      <c r="B84" s="124" t="s">
        <v>1324</v>
      </c>
      <c r="C84" t="s">
        <v>16</v>
      </c>
      <c r="D84" t="s">
        <v>318</v>
      </c>
      <c r="F84" t="s">
        <v>326</v>
      </c>
      <c r="G84">
        <f t="shared" si="6"/>
        <v>1051</v>
      </c>
      <c r="H84" t="str">
        <f t="shared" si="7"/>
        <v>`     Save water</v>
      </c>
      <c r="I84" t="s">
        <v>522</v>
      </c>
      <c r="J84" t="str">
        <f t="shared" si="8"/>
        <v>&lt;G1P&gt;`     Save water</v>
      </c>
    </row>
    <row r="85" spans="1:10" x14ac:dyDescent="0.25">
      <c r="A85" s="123">
        <v>1054</v>
      </c>
      <c r="B85" s="124" t="s">
        <v>1325</v>
      </c>
      <c r="C85" t="s">
        <v>16</v>
      </c>
      <c r="D85" t="s">
        <v>318</v>
      </c>
      <c r="F85" t="s">
        <v>326</v>
      </c>
      <c r="G85">
        <f t="shared" si="6"/>
        <v>1054</v>
      </c>
      <c r="H85" t="str">
        <f t="shared" si="7"/>
        <v>`     Ran out of water</v>
      </c>
      <c r="I85" t="s">
        <v>522</v>
      </c>
      <c r="J85" t="str">
        <f t="shared" si="8"/>
        <v>&lt;G1P&gt;`     Ran out of water</v>
      </c>
    </row>
    <row r="86" spans="1:10" x14ac:dyDescent="0.25">
      <c r="A86" s="123">
        <v>1059</v>
      </c>
      <c r="B86" s="124" t="s">
        <v>1326</v>
      </c>
      <c r="C86" t="s">
        <v>16</v>
      </c>
      <c r="D86" t="s">
        <v>318</v>
      </c>
      <c r="F86" t="s">
        <v>326</v>
      </c>
      <c r="G86">
        <f t="shared" si="6"/>
        <v>1059</v>
      </c>
      <c r="H86" t="str">
        <f t="shared" si="7"/>
        <v>`     Can used Credit for payment</v>
      </c>
      <c r="I86" t="s">
        <v>522</v>
      </c>
      <c r="J86" t="str">
        <f t="shared" si="8"/>
        <v>&lt;G1P&gt;`     Can used Credit for payment</v>
      </c>
    </row>
    <row r="87" spans="1:10" ht="28.5" x14ac:dyDescent="0.25">
      <c r="A87" s="123">
        <v>1060</v>
      </c>
      <c r="B87" s="124" t="s">
        <v>1327</v>
      </c>
      <c r="C87" t="s">
        <v>16</v>
      </c>
      <c r="D87" t="s">
        <v>318</v>
      </c>
      <c r="F87" t="s">
        <v>326</v>
      </c>
      <c r="G87">
        <f t="shared" si="6"/>
        <v>1060</v>
      </c>
      <c r="H87" t="str">
        <f t="shared" si="7"/>
        <v xml:space="preserve">`     You can have a loan even if you don’t have money for paymnet </v>
      </c>
      <c r="I87" t="s">
        <v>522</v>
      </c>
      <c r="J87" t="str">
        <f t="shared" si="8"/>
        <v xml:space="preserve">&lt;G1P&gt;`     You can have a loan even if you don’t have money for paymnet </v>
      </c>
    </row>
    <row r="88" spans="1:10" x14ac:dyDescent="0.25">
      <c r="A88" s="129">
        <v>1064</v>
      </c>
      <c r="B88" s="126" t="s">
        <v>1328</v>
      </c>
      <c r="C88" t="s">
        <v>16</v>
      </c>
      <c r="D88" t="s">
        <v>318</v>
      </c>
      <c r="F88" t="s">
        <v>326</v>
      </c>
      <c r="G88">
        <f t="shared" si="6"/>
        <v>1064</v>
      </c>
      <c r="H88" t="str">
        <f t="shared" si="7"/>
        <v>`     Can be used on bills</v>
      </c>
      <c r="I88" t="s">
        <v>522</v>
      </c>
      <c r="J88" t="str">
        <f t="shared" si="8"/>
        <v>&lt;G1P&gt;`     Can be used on bills</v>
      </c>
    </row>
    <row r="89" spans="1:10" x14ac:dyDescent="0.25">
      <c r="A89" s="129">
        <v>1073</v>
      </c>
      <c r="B89" s="126" t="s">
        <v>1329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If budget is short there is a solution</v>
      </c>
      <c r="I89" t="s">
        <v>522</v>
      </c>
      <c r="J89" t="str">
        <f t="shared" si="8"/>
        <v>&lt;G1P&gt;`     If budget is short there is a solution</v>
      </c>
    </row>
    <row r="90" spans="1:10" x14ac:dyDescent="0.25">
      <c r="A90" s="125">
        <v>1076</v>
      </c>
      <c r="B90" s="126" t="s">
        <v>1330</v>
      </c>
      <c r="C90" t="s">
        <v>16</v>
      </c>
      <c r="D90" t="s">
        <v>318</v>
      </c>
      <c r="F90" t="s">
        <v>326</v>
      </c>
      <c r="G90">
        <f t="shared" si="6"/>
        <v>1076</v>
      </c>
      <c r="H90" t="str">
        <f t="shared" si="7"/>
        <v>`     Easy to budget because of Gloan</v>
      </c>
      <c r="I90" t="s">
        <v>522</v>
      </c>
      <c r="J90" t="str">
        <f t="shared" si="8"/>
        <v>&lt;G1P&gt;`     Easy to budget because of Gloan</v>
      </c>
    </row>
    <row r="91" spans="1:10" x14ac:dyDescent="0.25">
      <c r="A91" s="125">
        <v>1078</v>
      </c>
      <c r="B91" s="126" t="s">
        <v>1331</v>
      </c>
      <c r="C91" t="s">
        <v>16</v>
      </c>
      <c r="D91" t="s">
        <v>318</v>
      </c>
      <c r="F91" t="s">
        <v>326</v>
      </c>
      <c r="G91">
        <f t="shared" si="6"/>
        <v>1078</v>
      </c>
      <c r="H91" t="str">
        <f t="shared" si="7"/>
        <v>`     Can borrow money</v>
      </c>
      <c r="I91" t="s">
        <v>522</v>
      </c>
      <c r="J91" t="str">
        <f t="shared" si="8"/>
        <v>&lt;G1P&gt;`     Can borrow money</v>
      </c>
    </row>
    <row r="92" spans="1:10" x14ac:dyDescent="0.25">
      <c r="A92" s="125">
        <v>1079</v>
      </c>
      <c r="B92" s="126" t="s">
        <v>1332</v>
      </c>
      <c r="C92" t="s">
        <v>16</v>
      </c>
      <c r="D92" t="s">
        <v>318</v>
      </c>
      <c r="F92" t="s">
        <v>326</v>
      </c>
      <c r="G92">
        <f t="shared" si="6"/>
        <v>1079</v>
      </c>
      <c r="H92" t="str">
        <f t="shared" si="7"/>
        <v>`     Help if we neded</v>
      </c>
      <c r="I92" t="s">
        <v>522</v>
      </c>
      <c r="J92" t="str">
        <f t="shared" si="8"/>
        <v>&lt;G1P&gt;`     Help if we neded</v>
      </c>
    </row>
    <row r="93" spans="1:10" x14ac:dyDescent="0.25">
      <c r="A93" s="125">
        <v>1080</v>
      </c>
      <c r="B93" s="126" t="s">
        <v>1333</v>
      </c>
      <c r="C93" t="s">
        <v>16</v>
      </c>
      <c r="D93" t="s">
        <v>318</v>
      </c>
      <c r="F93" t="s">
        <v>326</v>
      </c>
      <c r="G93">
        <f t="shared" si="6"/>
        <v>1080</v>
      </c>
      <c r="H93" t="str">
        <f t="shared" si="7"/>
        <v>`     Gcash flexible payments are multiple uses</v>
      </c>
      <c r="I93" t="s">
        <v>522</v>
      </c>
      <c r="J93" t="str">
        <f t="shared" si="8"/>
        <v>&lt;G1P&gt;`     Gcash flexible payments are multiple uses</v>
      </c>
    </row>
    <row r="94" spans="1:10" x14ac:dyDescent="0.25">
      <c r="A94" s="125">
        <v>1082</v>
      </c>
      <c r="B94" s="126" t="s">
        <v>1334</v>
      </c>
      <c r="C94" t="s">
        <v>16</v>
      </c>
      <c r="D94" t="s">
        <v>318</v>
      </c>
      <c r="F94" t="s">
        <v>326</v>
      </c>
      <c r="G94">
        <f t="shared" si="6"/>
        <v>1082</v>
      </c>
      <c r="H94" t="str">
        <f t="shared" si="7"/>
        <v>`     Gcash's loan helps with finances</v>
      </c>
      <c r="I94" t="s">
        <v>522</v>
      </c>
      <c r="J94" t="str">
        <f t="shared" si="8"/>
        <v>&lt;G1P&gt;`     Gcash's loan helps with finances</v>
      </c>
    </row>
    <row r="95" spans="1:10" x14ac:dyDescent="0.25">
      <c r="A95" s="125">
        <v>1084</v>
      </c>
      <c r="B95" s="126" t="s">
        <v>1335</v>
      </c>
      <c r="C95" t="s">
        <v>16</v>
      </c>
      <c r="D95" t="s">
        <v>318</v>
      </c>
      <c r="F95" t="s">
        <v>326</v>
      </c>
      <c r="G95">
        <f t="shared" si="6"/>
        <v>1084</v>
      </c>
      <c r="H95" t="str">
        <f t="shared" si="7"/>
        <v>`     Making it easier to meet demand</v>
      </c>
      <c r="I95" t="s">
        <v>522</v>
      </c>
      <c r="J95" t="str">
        <f t="shared" si="8"/>
        <v>&lt;G1P&gt;`     Making it easier to meet demand</v>
      </c>
    </row>
    <row r="96" spans="1:10" x14ac:dyDescent="0.25">
      <c r="A96" s="125">
        <v>1085</v>
      </c>
      <c r="B96" s="126" t="s">
        <v>1336</v>
      </c>
      <c r="C96" t="s">
        <v>16</v>
      </c>
      <c r="D96" t="s">
        <v>318</v>
      </c>
      <c r="F96" t="s">
        <v>326</v>
      </c>
      <c r="G96">
        <f t="shared" si="6"/>
        <v>1085</v>
      </c>
      <c r="H96" t="str">
        <f t="shared" si="7"/>
        <v>`     Can get a loan with the online app of Gcash</v>
      </c>
      <c r="I96" t="s">
        <v>522</v>
      </c>
      <c r="J96" t="str">
        <f t="shared" si="8"/>
        <v>&lt;G1P&gt;`     Can get a loan with the online app of Gcash</v>
      </c>
    </row>
    <row r="97" spans="1:10" x14ac:dyDescent="0.25">
      <c r="A97" s="125">
        <v>1086</v>
      </c>
      <c r="B97" s="126" t="s">
        <v>1337</v>
      </c>
      <c r="C97" t="s">
        <v>16</v>
      </c>
      <c r="D97" t="s">
        <v>318</v>
      </c>
      <c r="F97" t="s">
        <v>326</v>
      </c>
      <c r="G97">
        <f t="shared" si="6"/>
        <v>1086</v>
      </c>
      <c r="H97" t="str">
        <f t="shared" si="7"/>
        <v>`     Can borrow to pay the water bill or electric bill</v>
      </c>
      <c r="I97" t="s">
        <v>522</v>
      </c>
      <c r="J97" t="str">
        <f t="shared" si="8"/>
        <v>&lt;G1P&gt;`     Can borrow to pay the water bill or electric bill</v>
      </c>
    </row>
    <row r="98" spans="1:10" x14ac:dyDescent="0.25">
      <c r="A98" s="125">
        <v>1087</v>
      </c>
      <c r="B98" s="126" t="s">
        <v>1338</v>
      </c>
      <c r="C98" t="s">
        <v>16</v>
      </c>
      <c r="D98" t="s">
        <v>318</v>
      </c>
      <c r="F98" t="s">
        <v>326</v>
      </c>
      <c r="G98">
        <f t="shared" ref="G98:G112" si="9">IF(A98="","",A98)</f>
        <v>1087</v>
      </c>
      <c r="H98" t="str">
        <f t="shared" ref="H98:H112" si="10">_xlfn.CONCAT(D98,SUBSTITUTE(B98,"""","`"""),E98)</f>
        <v xml:space="preserve">`     We can't deny the fact that we can get anything we want </v>
      </c>
      <c r="I98" t="s">
        <v>522</v>
      </c>
      <c r="J98" t="str">
        <f t="shared" ref="J98:J112" si="11">_xlfn.CONCAT(I98,H98)</f>
        <v xml:space="preserve">&lt;G1P&gt;`     We can't deny the fact that we can get anything we want </v>
      </c>
    </row>
    <row r="99" spans="1:10" x14ac:dyDescent="0.25">
      <c r="A99" s="125">
        <v>1088</v>
      </c>
      <c r="B99" s="126" t="s">
        <v>1339</v>
      </c>
      <c r="C99" t="s">
        <v>16</v>
      </c>
      <c r="D99" t="s">
        <v>318</v>
      </c>
      <c r="F99" t="s">
        <v>326</v>
      </c>
      <c r="G99">
        <f t="shared" si="9"/>
        <v>1088</v>
      </c>
      <c r="H99" t="str">
        <f t="shared" si="10"/>
        <v>`     GCredit always available</v>
      </c>
      <c r="I99" t="s">
        <v>522</v>
      </c>
      <c r="J99" t="str">
        <f t="shared" si="11"/>
        <v>&lt;G1P&gt;`     GCredit always available</v>
      </c>
    </row>
    <row r="100" spans="1:10" x14ac:dyDescent="0.25">
      <c r="A100" s="125">
        <v>1089</v>
      </c>
      <c r="B100" s="126" t="s">
        <v>1340</v>
      </c>
      <c r="C100" t="s">
        <v>16</v>
      </c>
      <c r="D100" t="s">
        <v>318</v>
      </c>
      <c r="F100" t="s">
        <v>326</v>
      </c>
      <c r="G100">
        <f t="shared" si="9"/>
        <v>1089</v>
      </c>
      <c r="H100" t="str">
        <f t="shared" si="10"/>
        <v>`     GCredit can be paid at the supermarket</v>
      </c>
      <c r="I100" t="s">
        <v>522</v>
      </c>
      <c r="J100" t="str">
        <f t="shared" si="11"/>
        <v>&lt;G1P&gt;`     GCredit can be paid at the supermarket</v>
      </c>
    </row>
    <row r="101" spans="1:10" x14ac:dyDescent="0.25">
      <c r="A101" s="125">
        <v>1090</v>
      </c>
      <c r="B101" s="126" t="s">
        <v>1341</v>
      </c>
      <c r="C101" t="s">
        <v>16</v>
      </c>
      <c r="D101" t="s">
        <v>318</v>
      </c>
      <c r="F101" t="s">
        <v>326</v>
      </c>
      <c r="G101">
        <f t="shared" si="9"/>
        <v>1090</v>
      </c>
      <c r="H101" t="str">
        <f t="shared" si="10"/>
        <v>`     No need to be thrifty</v>
      </c>
      <c r="I101" t="s">
        <v>521</v>
      </c>
      <c r="J101" t="str">
        <f t="shared" si="11"/>
        <v>&lt;G2E&gt;&lt;G1P&gt;`     No need to be thrifty</v>
      </c>
    </row>
    <row r="102" spans="1:10" ht="15.75" x14ac:dyDescent="0.25">
      <c r="A102" s="116" t="s">
        <v>1358</v>
      </c>
      <c r="B102" s="103" t="s">
        <v>331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1023+1024+1055+1065+1083</v>
      </c>
      <c r="H102" t="str">
        <f t="shared" si="10"/>
        <v>`VAGUE (NET)&lt;Q&gt;</v>
      </c>
      <c r="J102" t="str">
        <f t="shared" si="11"/>
        <v>`VAGUE (NET)&lt;Q&gt;</v>
      </c>
    </row>
    <row r="103" spans="1:10" x14ac:dyDescent="0.25">
      <c r="A103" s="123">
        <v>1023</v>
      </c>
      <c r="B103" s="124" t="s">
        <v>1342</v>
      </c>
      <c r="C103" t="s">
        <v>16</v>
      </c>
      <c r="D103" t="s">
        <v>318</v>
      </c>
      <c r="F103" t="s">
        <v>326</v>
      </c>
      <c r="G103">
        <f t="shared" si="9"/>
        <v>1023</v>
      </c>
      <c r="H103" t="str">
        <f t="shared" si="10"/>
        <v>`     `"Maluho`"</v>
      </c>
      <c r="I103" t="s">
        <v>520</v>
      </c>
      <c r="J103" t="str">
        <f t="shared" si="11"/>
        <v>&lt;G2B&gt;&lt;G1P&gt;`     `"Maluho`"</v>
      </c>
    </row>
    <row r="104" spans="1:10" x14ac:dyDescent="0.25">
      <c r="A104" s="123">
        <v>1024</v>
      </c>
      <c r="B104" s="124" t="s">
        <v>787</v>
      </c>
      <c r="C104" t="s">
        <v>16</v>
      </c>
      <c r="D104" t="s">
        <v>318</v>
      </c>
      <c r="F104" t="s">
        <v>326</v>
      </c>
      <c r="G104">
        <f t="shared" si="9"/>
        <v>1024</v>
      </c>
      <c r="H104" t="str">
        <f t="shared" si="10"/>
        <v>`     Nice</v>
      </c>
      <c r="I104" t="s">
        <v>522</v>
      </c>
      <c r="J104" t="str">
        <f t="shared" si="11"/>
        <v>&lt;G1P&gt;`     Nice</v>
      </c>
    </row>
    <row r="105" spans="1:10" x14ac:dyDescent="0.25">
      <c r="A105" s="123">
        <v>1055</v>
      </c>
      <c r="B105" s="124" t="s">
        <v>784</v>
      </c>
      <c r="C105" t="s">
        <v>16</v>
      </c>
      <c r="D105" t="s">
        <v>318</v>
      </c>
      <c r="F105" t="s">
        <v>326</v>
      </c>
      <c r="G105">
        <f t="shared" si="9"/>
        <v>1055</v>
      </c>
      <c r="H105" t="str">
        <f t="shared" si="10"/>
        <v>`     It's okay</v>
      </c>
      <c r="I105" t="s">
        <v>522</v>
      </c>
      <c r="J105" t="str">
        <f t="shared" si="11"/>
        <v>&lt;G1P&gt;`     It's okay</v>
      </c>
    </row>
    <row r="106" spans="1:10" x14ac:dyDescent="0.25">
      <c r="A106" s="129">
        <v>1065</v>
      </c>
      <c r="B106" s="126" t="s">
        <v>1343</v>
      </c>
      <c r="C106" t="s">
        <v>16</v>
      </c>
      <c r="D106" t="s">
        <v>318</v>
      </c>
      <c r="F106" t="s">
        <v>326</v>
      </c>
      <c r="G106">
        <f t="shared" si="9"/>
        <v>1065</v>
      </c>
      <c r="H106" t="str">
        <f t="shared" si="10"/>
        <v>`     Tight budget</v>
      </c>
      <c r="I106" t="s">
        <v>522</v>
      </c>
      <c r="J106" t="str">
        <f t="shared" si="11"/>
        <v>&lt;G1P&gt;`     Tight budget</v>
      </c>
    </row>
    <row r="107" spans="1:10" x14ac:dyDescent="0.25">
      <c r="A107" s="125">
        <v>1083</v>
      </c>
      <c r="B107" s="126" t="s">
        <v>723</v>
      </c>
      <c r="C107" t="s">
        <v>16</v>
      </c>
      <c r="D107" t="s">
        <v>318</v>
      </c>
      <c r="F107" t="s">
        <v>326</v>
      </c>
      <c r="G107">
        <f t="shared" si="9"/>
        <v>1083</v>
      </c>
      <c r="H107" t="str">
        <f t="shared" si="10"/>
        <v>`     Pay bills</v>
      </c>
      <c r="I107" t="s">
        <v>521</v>
      </c>
      <c r="J107" t="str">
        <f t="shared" si="11"/>
        <v>&lt;G2E&gt;&lt;G1P&gt;`     Pay bills</v>
      </c>
    </row>
    <row r="108" spans="1:10" x14ac:dyDescent="0.25">
      <c r="A108" s="123">
        <v>9995</v>
      </c>
      <c r="B108" s="131" t="s">
        <v>1344</v>
      </c>
      <c r="G108">
        <f t="shared" si="9"/>
        <v>9995</v>
      </c>
      <c r="H108" t="str">
        <f t="shared" si="10"/>
        <v>No Idea</v>
      </c>
      <c r="J108" t="str">
        <f t="shared" si="11"/>
        <v>No Idea</v>
      </c>
    </row>
    <row r="109" spans="1:10" x14ac:dyDescent="0.25">
      <c r="A109" s="123">
        <v>9996</v>
      </c>
      <c r="B109" s="131" t="s">
        <v>302</v>
      </c>
      <c r="G109">
        <f t="shared" si="9"/>
        <v>9996</v>
      </c>
      <c r="H109" t="str">
        <f t="shared" si="10"/>
        <v>Can't say</v>
      </c>
      <c r="J109" t="str">
        <f t="shared" si="11"/>
        <v>Can't say</v>
      </c>
    </row>
    <row r="110" spans="1:10" x14ac:dyDescent="0.25">
      <c r="A110" s="123">
        <v>9997</v>
      </c>
      <c r="B110" s="131" t="s">
        <v>796</v>
      </c>
      <c r="G110">
        <f t="shared" si="9"/>
        <v>9997</v>
      </c>
      <c r="H110" t="str">
        <f t="shared" si="10"/>
        <v>No comment</v>
      </c>
      <c r="J110" t="str">
        <f t="shared" si="11"/>
        <v>No comment</v>
      </c>
    </row>
    <row r="111" spans="1:10" x14ac:dyDescent="0.25">
      <c r="A111" s="123">
        <v>9998</v>
      </c>
      <c r="B111" s="124" t="s">
        <v>336</v>
      </c>
      <c r="G111">
        <f t="shared" si="9"/>
        <v>9998</v>
      </c>
      <c r="H111" t="str">
        <f t="shared" si="10"/>
        <v>Don't know</v>
      </c>
      <c r="J111" t="str">
        <f t="shared" si="11"/>
        <v>Don't know</v>
      </c>
    </row>
    <row r="112" spans="1:10" x14ac:dyDescent="0.25">
      <c r="A112" s="123">
        <v>9999</v>
      </c>
      <c r="B112" s="124" t="s">
        <v>303</v>
      </c>
      <c r="G112">
        <f t="shared" si="9"/>
        <v>9999</v>
      </c>
      <c r="H112" t="str">
        <f t="shared" si="10"/>
        <v>None</v>
      </c>
      <c r="J112" t="str">
        <f t="shared" si="11"/>
        <v>None</v>
      </c>
    </row>
  </sheetData>
  <autoFilter ref="A1:C112" xr:uid="{3133D5A7-4A0C-4F43-9C10-040CF6289E5E}"/>
  <conditionalFormatting sqref="A1:A112">
    <cfRule type="duplicateValues" dxfId="75" priority="721"/>
  </conditionalFormatting>
  <conditionalFormatting sqref="A1:A112">
    <cfRule type="duplicateValues" dxfId="74" priority="724"/>
    <cfRule type="duplicateValues" dxfId="73" priority="725"/>
    <cfRule type="duplicateValues" dxfId="72" priority="726"/>
    <cfRule type="duplicateValues" dxfId="71" priority="727"/>
    <cfRule type="duplicateValues" dxfId="70" priority="728"/>
  </conditionalFormatting>
  <conditionalFormatting sqref="A1:A112">
    <cfRule type="duplicateValues" dxfId="69" priority="729"/>
    <cfRule type="duplicateValues" dxfId="68" priority="730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workbookViewId="0">
      <selection activeCell="I99" sqref="G1:I99"/>
    </sheetView>
  </sheetViews>
  <sheetFormatPr defaultRowHeight="15" x14ac:dyDescent="0.25"/>
  <cols>
    <col min="1" max="2" width="52.42578125" customWidth="1"/>
    <col min="8" max="8" width="55.8554687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16" t="s">
        <v>1432</v>
      </c>
      <c r="B2" s="117" t="s">
        <v>1359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1001+1002+1025+1048+1046</v>
      </c>
      <c r="H2" t="str">
        <f t="shared" ref="H2:H33" si="1">_xlfn.CONCAT(D2,SUBSTITUTE(B2,"""","`"""),E2)</f>
        <v>`BORROW MONEY FROM GCASH IN TIMES OF NEED (NET)&lt;Q&gt;</v>
      </c>
      <c r="I2" t="s">
        <v>518</v>
      </c>
      <c r="J2" t="str">
        <f t="shared" ref="J2:J33" si="2">_xlfn.CONCAT(I2,H2)</f>
        <v>&lt;G1B&gt;`BORROW MONEY FROM GCASH IN TIMES OF NEED (NET)&lt;Q&gt;</v>
      </c>
    </row>
    <row r="3" spans="1:10" x14ac:dyDescent="0.25">
      <c r="A3" s="116">
        <v>1001</v>
      </c>
      <c r="B3" s="118" t="s">
        <v>1360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borrow money from GCash in times of need</v>
      </c>
      <c r="I3" t="s">
        <v>520</v>
      </c>
      <c r="J3" t="str">
        <f t="shared" si="2"/>
        <v>&lt;G2B&gt;&lt;G1P&gt;`     Can borrow money from GCash in times of need</v>
      </c>
    </row>
    <row r="4" spans="1:10" x14ac:dyDescent="0.25">
      <c r="A4" s="116">
        <v>1002</v>
      </c>
      <c r="B4" s="118" t="s">
        <v>1361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GCash can help in time of emergency</v>
      </c>
      <c r="I4" t="s">
        <v>522</v>
      </c>
      <c r="J4" t="str">
        <f t="shared" si="2"/>
        <v>&lt;G1P&gt;`     GCash can help in time of emergency</v>
      </c>
    </row>
    <row r="5" spans="1:10" x14ac:dyDescent="0.25">
      <c r="A5" s="123">
        <v>1025</v>
      </c>
      <c r="B5" s="124" t="s">
        <v>1362</v>
      </c>
      <c r="C5" t="s">
        <v>16</v>
      </c>
      <c r="D5" t="s">
        <v>318</v>
      </c>
      <c r="F5" t="s">
        <v>326</v>
      </c>
      <c r="G5">
        <f t="shared" si="0"/>
        <v>1025</v>
      </c>
      <c r="H5" t="str">
        <f t="shared" si="1"/>
        <v>`     GCredit for emergency</v>
      </c>
      <c r="I5" t="s">
        <v>522</v>
      </c>
      <c r="J5" t="str">
        <f t="shared" si="2"/>
        <v>&lt;G1P&gt;`     GCredit for emergency</v>
      </c>
    </row>
    <row r="6" spans="1:10" x14ac:dyDescent="0.25">
      <c r="A6" s="119">
        <v>1048</v>
      </c>
      <c r="B6" s="120" t="s">
        <v>1363</v>
      </c>
      <c r="C6" t="s">
        <v>16</v>
      </c>
      <c r="D6" t="s">
        <v>318</v>
      </c>
      <c r="F6" t="s">
        <v>326</v>
      </c>
      <c r="G6">
        <f t="shared" si="0"/>
        <v>1048</v>
      </c>
      <c r="H6" t="str">
        <f t="shared" si="1"/>
        <v>`     You can avail by a GLoan when your out of money</v>
      </c>
      <c r="I6" t="s">
        <v>522</v>
      </c>
      <c r="J6" t="str">
        <f t="shared" si="2"/>
        <v>&lt;G1P&gt;`     You can avail by a GLoan when your out of money</v>
      </c>
    </row>
    <row r="7" spans="1:10" x14ac:dyDescent="0.25">
      <c r="A7" s="119">
        <v>1046</v>
      </c>
      <c r="B7" s="120" t="s">
        <v>1364</v>
      </c>
      <c r="C7" t="s">
        <v>16</v>
      </c>
      <c r="D7" t="s">
        <v>318</v>
      </c>
      <c r="F7" t="s">
        <v>326</v>
      </c>
      <c r="G7">
        <f t="shared" si="0"/>
        <v>1046</v>
      </c>
      <c r="H7" t="str">
        <f t="shared" si="1"/>
        <v>`     If cash runs out there is GCash that can be borrowed</v>
      </c>
      <c r="I7" t="s">
        <v>521</v>
      </c>
      <c r="J7" t="str">
        <f t="shared" si="2"/>
        <v>&lt;G2E&gt;&lt;G1P&gt;`     If cash runs out there is GCash that can be borrowed</v>
      </c>
    </row>
    <row r="8" spans="1:10" ht="15.75" x14ac:dyDescent="0.25">
      <c r="A8" s="116" t="s">
        <v>1433</v>
      </c>
      <c r="B8" s="117" t="s">
        <v>1365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1003+1027</v>
      </c>
      <c r="H8" t="str">
        <f t="shared" si="1"/>
        <v>`GCREDIT CAN BE USED ANYWHERE (NET)&lt;Q&gt;</v>
      </c>
      <c r="J8" t="str">
        <f t="shared" si="2"/>
        <v>`GCREDIT CAN BE USED ANYWHERE (NET)&lt;Q&gt;</v>
      </c>
    </row>
    <row r="9" spans="1:10" x14ac:dyDescent="0.25">
      <c r="A9" s="116">
        <v>1003</v>
      </c>
      <c r="B9" s="118" t="s">
        <v>1366</v>
      </c>
      <c r="C9" t="s">
        <v>16</v>
      </c>
      <c r="D9" t="s">
        <v>318</v>
      </c>
      <c r="F9" t="s">
        <v>326</v>
      </c>
      <c r="G9">
        <f t="shared" si="0"/>
        <v>1003</v>
      </c>
      <c r="H9" t="str">
        <f t="shared" si="1"/>
        <v>`     GCredit can be used anywhere</v>
      </c>
      <c r="I9" t="s">
        <v>520</v>
      </c>
      <c r="J9" t="str">
        <f t="shared" si="2"/>
        <v>&lt;G2B&gt;&lt;G1P&gt;`     GCredit can be used anywhere</v>
      </c>
    </row>
    <row r="10" spans="1:10" ht="28.5" x14ac:dyDescent="0.25">
      <c r="A10" s="123">
        <v>1027</v>
      </c>
      <c r="B10" s="124" t="s">
        <v>1367</v>
      </c>
      <c r="C10" t="s">
        <v>16</v>
      </c>
      <c r="D10" t="s">
        <v>318</v>
      </c>
      <c r="F10" t="s">
        <v>326</v>
      </c>
      <c r="G10">
        <f t="shared" si="0"/>
        <v>1027</v>
      </c>
      <c r="H10" t="str">
        <f t="shared" si="1"/>
        <v>`     With GCash there are many things you can do like GCredit</v>
      </c>
      <c r="I10" t="s">
        <v>521</v>
      </c>
      <c r="J10" t="str">
        <f t="shared" si="2"/>
        <v>&lt;G2E&gt;&lt;G1P&gt;`     With GCash there are many things you can do like GCredit</v>
      </c>
    </row>
    <row r="11" spans="1:10" ht="15.75" x14ac:dyDescent="0.25">
      <c r="A11" s="116">
        <v>1004</v>
      </c>
      <c r="B11" s="117" t="s">
        <v>1368</v>
      </c>
      <c r="C11" t="s">
        <v>6</v>
      </c>
      <c r="D11" t="s">
        <v>323</v>
      </c>
      <c r="E11" t="s">
        <v>322</v>
      </c>
      <c r="F11" t="s">
        <v>327</v>
      </c>
      <c r="G11">
        <f t="shared" si="0"/>
        <v>1004</v>
      </c>
      <c r="H11" t="str">
        <f t="shared" si="1"/>
        <v>`HUMOR/COMEDY (NET)&lt;Q&gt;</v>
      </c>
      <c r="J11" t="str">
        <f t="shared" si="2"/>
        <v>`HUMOR/COMEDY (NET)&lt;Q&gt;</v>
      </c>
    </row>
    <row r="12" spans="1:10" ht="28.5" x14ac:dyDescent="0.25">
      <c r="A12" s="116">
        <v>1004</v>
      </c>
      <c r="B12" s="127" t="s">
        <v>1369</v>
      </c>
      <c r="C12" t="s">
        <v>16</v>
      </c>
      <c r="D12" t="s">
        <v>318</v>
      </c>
      <c r="F12" t="s">
        <v>326</v>
      </c>
      <c r="G12">
        <f t="shared" si="0"/>
        <v>1004</v>
      </c>
      <c r="H12" t="str">
        <f t="shared" si="1"/>
        <v>`     Borrowed money from GCash because there is no ingredients to cook for food</v>
      </c>
      <c r="I12" t="s">
        <v>522</v>
      </c>
      <c r="J12" t="str">
        <f t="shared" si="2"/>
        <v>&lt;G1P&gt;`     Borrowed money from GCash because there is no ingredients to cook for food</v>
      </c>
    </row>
    <row r="13" spans="1:10" ht="15.75" x14ac:dyDescent="0.25">
      <c r="A13" s="116" t="s">
        <v>1434</v>
      </c>
      <c r="B13" s="117" t="s">
        <v>1370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1005+1068</v>
      </c>
      <c r="H13" t="str">
        <f t="shared" si="1"/>
        <v>`INSTANT LOAN VIA GCREDIT (NET)&lt;Q&gt;</v>
      </c>
      <c r="J13" t="str">
        <f t="shared" si="2"/>
        <v>`INSTANT LOAN VIA GCREDIT (NET)&lt;Q&gt;</v>
      </c>
    </row>
    <row r="14" spans="1:10" x14ac:dyDescent="0.25">
      <c r="A14" s="116">
        <v>1005</v>
      </c>
      <c r="B14" s="127" t="s">
        <v>1371</v>
      </c>
      <c r="C14" t="s">
        <v>16</v>
      </c>
      <c r="D14" t="s">
        <v>318</v>
      </c>
      <c r="F14" t="s">
        <v>326</v>
      </c>
      <c r="G14">
        <f t="shared" si="0"/>
        <v>1005</v>
      </c>
      <c r="H14" t="str">
        <f t="shared" si="1"/>
        <v>`     Instant loan via GCredit</v>
      </c>
      <c r="I14" t="s">
        <v>520</v>
      </c>
      <c r="J14" t="str">
        <f t="shared" si="2"/>
        <v>&lt;G2B&gt;&lt;G1P&gt;`     Instant loan via GCredit</v>
      </c>
    </row>
    <row r="15" spans="1:10" x14ac:dyDescent="0.25">
      <c r="A15" s="125">
        <v>1068</v>
      </c>
      <c r="B15" s="126" t="s">
        <v>1372</v>
      </c>
      <c r="C15" t="s">
        <v>16</v>
      </c>
      <c r="D15" t="s">
        <v>318</v>
      </c>
      <c r="F15" t="s">
        <v>326</v>
      </c>
      <c r="G15">
        <f t="shared" si="0"/>
        <v>1068</v>
      </c>
      <c r="H15" t="str">
        <f t="shared" si="1"/>
        <v>`     Today with Gcredit</v>
      </c>
      <c r="I15" t="s">
        <v>521</v>
      </c>
      <c r="J15" t="str">
        <f t="shared" si="2"/>
        <v>&lt;G2E&gt;&lt;G1P&gt;`     Today with Gcredit</v>
      </c>
    </row>
    <row r="16" spans="1:10" ht="15.75" x14ac:dyDescent="0.25">
      <c r="A16" s="116">
        <v>1006</v>
      </c>
      <c r="B16" s="117" t="s">
        <v>1373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1006</v>
      </c>
      <c r="H16" t="str">
        <f t="shared" si="1"/>
        <v>`CAN BORROW MONEY (NET)&lt;Q&gt;</v>
      </c>
      <c r="J16" t="str">
        <f t="shared" si="2"/>
        <v>`CAN BORROW MONEY (NET)&lt;Q&gt;</v>
      </c>
    </row>
    <row r="17" spans="1:10" x14ac:dyDescent="0.25">
      <c r="A17" s="116">
        <v>1006</v>
      </c>
      <c r="B17" s="118" t="s">
        <v>1331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Can borrow money</v>
      </c>
      <c r="I17" t="s">
        <v>522</v>
      </c>
      <c r="J17" t="str">
        <f t="shared" si="2"/>
        <v>&lt;G1P&gt;`     Can borrow money</v>
      </c>
    </row>
    <row r="18" spans="1:10" ht="31.5" x14ac:dyDescent="0.25">
      <c r="A18" s="116" t="s">
        <v>1435</v>
      </c>
      <c r="B18" s="117" t="s">
        <v>1374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1007+1045+1049</v>
      </c>
      <c r="H18" t="str">
        <f t="shared" si="1"/>
        <v>`BORROW MONEY FROM GCASH FOR GROCERY EXPENSES (NET)&lt;Q&gt;</v>
      </c>
      <c r="J18" t="str">
        <f t="shared" si="2"/>
        <v>`BORROW MONEY FROM GCASH FOR GROCERY EXPENSES (NET)&lt;Q&gt;</v>
      </c>
    </row>
    <row r="19" spans="1:10" x14ac:dyDescent="0.25">
      <c r="A19" s="116">
        <v>1007</v>
      </c>
      <c r="B19" s="118" t="s">
        <v>1375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for grocery expenses</v>
      </c>
      <c r="I19" t="s">
        <v>520</v>
      </c>
      <c r="J19" t="str">
        <f t="shared" si="2"/>
        <v>&lt;G2B&gt;&lt;G1P&gt;`     Can borrow money from GCash for grocery expenses</v>
      </c>
    </row>
    <row r="20" spans="1:10" x14ac:dyDescent="0.25">
      <c r="A20" s="123">
        <v>1045</v>
      </c>
      <c r="B20" s="124" t="s">
        <v>1376</v>
      </c>
      <c r="C20" t="s">
        <v>16</v>
      </c>
      <c r="D20" t="s">
        <v>318</v>
      </c>
      <c r="F20" t="s">
        <v>326</v>
      </c>
      <c r="G20">
        <f t="shared" si="0"/>
        <v>1045</v>
      </c>
      <c r="H20" t="str">
        <f t="shared" si="1"/>
        <v>`     Can be used for payment at grocery</v>
      </c>
      <c r="I20" t="s">
        <v>522</v>
      </c>
      <c r="J20" t="str">
        <f t="shared" si="2"/>
        <v>&lt;G1P&gt;`     Can be used for payment at grocery</v>
      </c>
    </row>
    <row r="21" spans="1:10" ht="28.5" x14ac:dyDescent="0.25">
      <c r="A21" s="119">
        <v>1049</v>
      </c>
      <c r="B21" s="120" t="s">
        <v>1377</v>
      </c>
      <c r="C21" t="s">
        <v>16</v>
      </c>
      <c r="D21" t="s">
        <v>318</v>
      </c>
      <c r="F21" t="s">
        <v>326</v>
      </c>
      <c r="G21">
        <f t="shared" si="0"/>
        <v>1049</v>
      </c>
      <c r="H21" t="str">
        <f t="shared" si="1"/>
        <v>`     If there is lack of  ingredients  at home get a loan in GGives</v>
      </c>
      <c r="I21" t="s">
        <v>521</v>
      </c>
      <c r="J21" t="str">
        <f t="shared" si="2"/>
        <v>&lt;G2E&gt;&lt;G1P&gt;`     If there is lack of  ingredients  at home get a loan in GGives</v>
      </c>
    </row>
    <row r="22" spans="1:10" ht="15.75" x14ac:dyDescent="0.25">
      <c r="A22" s="116" t="s">
        <v>1436</v>
      </c>
      <c r="B22" s="117" t="s">
        <v>734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1008+1042</v>
      </c>
      <c r="H22" t="str">
        <f t="shared" si="1"/>
        <v>`GCASH IS RELIABLE (NET)&lt;Q&gt;</v>
      </c>
      <c r="J22" t="str">
        <f t="shared" si="2"/>
        <v>`GCASH IS RELIABLE (NET)&lt;Q&gt;</v>
      </c>
    </row>
    <row r="23" spans="1:10" x14ac:dyDescent="0.25">
      <c r="A23" s="116">
        <v>1008</v>
      </c>
      <c r="B23" s="118" t="s">
        <v>735</v>
      </c>
      <c r="C23" t="s">
        <v>16</v>
      </c>
      <c r="D23" t="s">
        <v>318</v>
      </c>
      <c r="F23" t="s">
        <v>326</v>
      </c>
      <c r="G23">
        <f t="shared" si="0"/>
        <v>1008</v>
      </c>
      <c r="H23" t="str">
        <f t="shared" si="1"/>
        <v>`     GCash is reliable</v>
      </c>
      <c r="I23" t="s">
        <v>520</v>
      </c>
      <c r="J23" t="str">
        <f t="shared" si="2"/>
        <v>&lt;G2B&gt;&lt;G1P&gt;`     GCash is reliable</v>
      </c>
    </row>
    <row r="24" spans="1:10" x14ac:dyDescent="0.25">
      <c r="A24" s="123">
        <v>1042</v>
      </c>
      <c r="B24" s="124" t="s">
        <v>1378</v>
      </c>
      <c r="C24" t="s">
        <v>16</v>
      </c>
      <c r="D24" t="s">
        <v>318</v>
      </c>
      <c r="F24" t="s">
        <v>326</v>
      </c>
      <c r="G24">
        <f t="shared" si="0"/>
        <v>1042</v>
      </c>
      <c r="H24" t="str">
        <f t="shared" si="1"/>
        <v>`     GCash is helpful</v>
      </c>
      <c r="I24" t="s">
        <v>521</v>
      </c>
      <c r="J24" t="str">
        <f t="shared" si="2"/>
        <v>&lt;G2E&gt;&lt;G1P&gt;`     GCash is helpful</v>
      </c>
    </row>
    <row r="25" spans="1:10" ht="15.75" x14ac:dyDescent="0.25">
      <c r="A25" s="116">
        <v>1009</v>
      </c>
      <c r="B25" s="117" t="s">
        <v>1379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1009</v>
      </c>
      <c r="H25" t="str">
        <f t="shared" si="1"/>
        <v>`GCREDIT IS RELIABLE (NET)&lt;Q&gt;</v>
      </c>
      <c r="J25" t="str">
        <f t="shared" si="2"/>
        <v>`GCREDIT IS RELIABLE (NET)&lt;Q&gt;</v>
      </c>
    </row>
    <row r="26" spans="1:10" x14ac:dyDescent="0.25">
      <c r="A26" s="116">
        <v>1009</v>
      </c>
      <c r="B26" s="118" t="s">
        <v>1299</v>
      </c>
      <c r="C26" t="s">
        <v>16</v>
      </c>
      <c r="D26" t="s">
        <v>318</v>
      </c>
      <c r="F26" t="s">
        <v>326</v>
      </c>
      <c r="G26">
        <f t="shared" si="0"/>
        <v>1009</v>
      </c>
      <c r="H26" t="str">
        <f t="shared" si="1"/>
        <v>`     GCredit is always reliable</v>
      </c>
      <c r="I26" t="s">
        <v>522</v>
      </c>
      <c r="J26" t="str">
        <f t="shared" si="2"/>
        <v>&lt;G1P&gt;`     GCredit is always reliable</v>
      </c>
    </row>
    <row r="27" spans="1:10" ht="15.75" x14ac:dyDescent="0.25">
      <c r="A27" s="116" t="s">
        <v>1437</v>
      </c>
      <c r="B27" s="117" t="s">
        <v>1380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1010+1011+1051</v>
      </c>
      <c r="H27" t="str">
        <f t="shared" si="1"/>
        <v>`LOAN AMOUNT (NET)&lt;Q&gt;</v>
      </c>
      <c r="J27" t="str">
        <f t="shared" si="2"/>
        <v>`LOAN AMOUNT (NET)&lt;Q&gt;</v>
      </c>
    </row>
    <row r="28" spans="1:10" ht="28.5" x14ac:dyDescent="0.25">
      <c r="A28" s="116">
        <v>1010</v>
      </c>
      <c r="B28" s="118" t="s">
        <v>1381</v>
      </c>
      <c r="C28" t="s">
        <v>16</v>
      </c>
      <c r="D28" t="s">
        <v>318</v>
      </c>
      <c r="F28" t="s">
        <v>326</v>
      </c>
      <c r="G28">
        <f t="shared" si="0"/>
        <v>1010</v>
      </c>
      <c r="H28" t="str">
        <f t="shared" si="1"/>
        <v>`     Can borrow money from GCash using GCredit for grocery expenses from Php1,000 to Php500k</v>
      </c>
      <c r="I28" t="s">
        <v>520</v>
      </c>
      <c r="J28" t="str">
        <f t="shared" si="2"/>
        <v>&lt;G2B&gt;&lt;G1P&gt;`     Can borrow money from GCash using GCredit for grocery expenses from Php1,000 to Php500k</v>
      </c>
    </row>
    <row r="29" spans="1:10" ht="28.5" x14ac:dyDescent="0.25">
      <c r="A29" s="116">
        <v>1011</v>
      </c>
      <c r="B29" s="118" t="s">
        <v>1382</v>
      </c>
      <c r="C29" t="s">
        <v>16</v>
      </c>
      <c r="D29" t="s">
        <v>318</v>
      </c>
      <c r="F29" t="s">
        <v>326</v>
      </c>
      <c r="G29">
        <f t="shared" si="0"/>
        <v>1011</v>
      </c>
      <c r="H29" t="str">
        <f t="shared" si="1"/>
        <v>`     Can borrow money from GCash for grocery expenses from Php1,000 to Php500k</v>
      </c>
      <c r="I29" t="s">
        <v>522</v>
      </c>
      <c r="J29" t="str">
        <f t="shared" si="2"/>
        <v>&lt;G1P&gt;`     Can borrow money from GCash for grocery expenses from Php1,000 to Php500k</v>
      </c>
    </row>
    <row r="30" spans="1:10" x14ac:dyDescent="0.25">
      <c r="A30" s="125">
        <v>1051</v>
      </c>
      <c r="B30" s="126" t="s">
        <v>1383</v>
      </c>
      <c r="C30" t="s">
        <v>16</v>
      </c>
      <c r="D30" t="s">
        <v>318</v>
      </c>
      <c r="F30" t="s">
        <v>326</v>
      </c>
      <c r="G30">
        <f t="shared" si="0"/>
        <v>1051</v>
      </c>
      <c r="H30" t="str">
        <f t="shared" si="1"/>
        <v>`     Can borrow up to 50k from gcredit</v>
      </c>
      <c r="I30" t="s">
        <v>521</v>
      </c>
      <c r="J30" t="str">
        <f t="shared" si="2"/>
        <v>&lt;G2E&gt;&lt;G1P&gt;`     Can borrow up to 50k from gcredit</v>
      </c>
    </row>
    <row r="31" spans="1:10" ht="15.75" x14ac:dyDescent="0.25">
      <c r="A31" s="116">
        <v>1012</v>
      </c>
      <c r="B31" s="117" t="s">
        <v>1384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`LOAN FROM GCASH (NET)&lt;Q&gt;</v>
      </c>
      <c r="J31" t="str">
        <f t="shared" si="2"/>
        <v>`LOAN FROM GCASH (NET)&lt;Q&gt;</v>
      </c>
    </row>
    <row r="32" spans="1:10" x14ac:dyDescent="0.25">
      <c r="A32" s="116">
        <v>1012</v>
      </c>
      <c r="B32" s="132" t="s">
        <v>1385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Can borrow money from GCash</v>
      </c>
      <c r="I32" t="s">
        <v>522</v>
      </c>
      <c r="J32" t="str">
        <f t="shared" si="2"/>
        <v>&lt;G1P&gt;`     Can borrow money from GCash</v>
      </c>
    </row>
    <row r="33" spans="1:10" ht="31.5" x14ac:dyDescent="0.25">
      <c r="A33" s="116">
        <v>1013</v>
      </c>
      <c r="B33" s="117" t="s">
        <v>1386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1013</v>
      </c>
      <c r="H33" t="str">
        <f t="shared" si="1"/>
        <v>`CAN BORROW FROM GCASH FOR DAILY EXPENSES (NET)&lt;Q&gt;</v>
      </c>
      <c r="J33" t="str">
        <f t="shared" si="2"/>
        <v>`CAN BORROW FROM GCASH FOR DAILY EXPENSES (NET)&lt;Q&gt;</v>
      </c>
    </row>
    <row r="34" spans="1:10" x14ac:dyDescent="0.25">
      <c r="A34" s="116">
        <v>1013</v>
      </c>
      <c r="B34" s="118" t="s">
        <v>1387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Can borrow from GCash for daily expenses</v>
      </c>
      <c r="I34" t="s">
        <v>522</v>
      </c>
      <c r="J34" t="str">
        <f t="shared" ref="J34:J65" si="5">_xlfn.CONCAT(I34,H34)</f>
        <v>&lt;G1P&gt;`     Can borrow from GCash for daily expenses</v>
      </c>
    </row>
    <row r="35" spans="1:10" ht="15.75" x14ac:dyDescent="0.25">
      <c r="A35" s="116" t="s">
        <v>1438</v>
      </c>
      <c r="B35" s="117" t="s">
        <v>1388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1022+1054</v>
      </c>
      <c r="H35" t="str">
        <f t="shared" si="4"/>
        <v>`CONVENIENT(NET)&lt;Q&gt;</v>
      </c>
      <c r="J35" t="str">
        <f t="shared" si="5"/>
        <v>`CONVENIENT(NET)&lt;Q&gt;</v>
      </c>
    </row>
    <row r="36" spans="1:10" x14ac:dyDescent="0.25">
      <c r="A36" s="123">
        <v>1022</v>
      </c>
      <c r="B36" s="124" t="s">
        <v>730</v>
      </c>
      <c r="C36" t="s">
        <v>16</v>
      </c>
      <c r="D36" t="s">
        <v>318</v>
      </c>
      <c r="F36" t="s">
        <v>326</v>
      </c>
      <c r="G36">
        <f t="shared" si="3"/>
        <v>1022</v>
      </c>
      <c r="H36" t="str">
        <f t="shared" si="4"/>
        <v>`     Convenient to use</v>
      </c>
      <c r="I36" t="s">
        <v>520</v>
      </c>
      <c r="J36" t="str">
        <f t="shared" si="5"/>
        <v>&lt;G2B&gt;&lt;G1P&gt;`     Convenient to use</v>
      </c>
    </row>
    <row r="37" spans="1:10" x14ac:dyDescent="0.25">
      <c r="A37" s="125">
        <v>1054</v>
      </c>
      <c r="B37" s="126" t="s">
        <v>1389</v>
      </c>
      <c r="C37" t="s">
        <v>16</v>
      </c>
      <c r="D37" t="s">
        <v>318</v>
      </c>
      <c r="F37" t="s">
        <v>326</v>
      </c>
      <c r="G37">
        <f t="shared" si="3"/>
        <v>1054</v>
      </c>
      <c r="H37" t="str">
        <f t="shared" si="4"/>
        <v>`     Gcash is convenient for emergency</v>
      </c>
      <c r="I37" t="s">
        <v>521</v>
      </c>
      <c r="J37" t="str">
        <f t="shared" si="5"/>
        <v>&lt;G2E&gt;&lt;G1P&gt;`     Gcash is convenient for emergency</v>
      </c>
    </row>
    <row r="38" spans="1:10" ht="31.5" x14ac:dyDescent="0.25">
      <c r="A38" s="116" t="s">
        <v>1439</v>
      </c>
      <c r="B38" s="117" t="s">
        <v>1390</v>
      </c>
      <c r="C38" t="s">
        <v>6</v>
      </c>
      <c r="D38" t="s">
        <v>323</v>
      </c>
      <c r="E38" t="s">
        <v>322</v>
      </c>
      <c r="F38" t="s">
        <v>327</v>
      </c>
      <c r="G38" t="str">
        <f t="shared" si="3"/>
        <v>1014+1040</v>
      </c>
      <c r="H38" t="str">
        <f t="shared" si="4"/>
        <v>`CAN BORROW MONEY FOR GROCERY EXPENSES (NET)&lt;Q&gt;</v>
      </c>
      <c r="J38" t="str">
        <f t="shared" si="5"/>
        <v>`CAN BORROW MONEY FOR GROCERY EXPENSES (NET)&lt;Q&gt;</v>
      </c>
    </row>
    <row r="39" spans="1:10" x14ac:dyDescent="0.25">
      <c r="A39" s="116">
        <v>1014</v>
      </c>
      <c r="B39" s="118" t="s">
        <v>1391</v>
      </c>
      <c r="C39" t="s">
        <v>16</v>
      </c>
      <c r="D39" t="s">
        <v>318</v>
      </c>
      <c r="F39" t="s">
        <v>326</v>
      </c>
      <c r="G39">
        <f t="shared" si="3"/>
        <v>1014</v>
      </c>
      <c r="H39" t="str">
        <f t="shared" si="4"/>
        <v>`     Can borrow money fro grocery expenses</v>
      </c>
      <c r="I39" t="s">
        <v>520</v>
      </c>
      <c r="J39" t="str">
        <f t="shared" si="5"/>
        <v>&lt;G2B&gt;&lt;G1P&gt;`     Can borrow money fro grocery expenses</v>
      </c>
    </row>
    <row r="40" spans="1:10" ht="28.5" x14ac:dyDescent="0.25">
      <c r="A40" s="123">
        <v>1040</v>
      </c>
      <c r="B40" s="124" t="s">
        <v>1392</v>
      </c>
      <c r="C40" t="s">
        <v>16</v>
      </c>
      <c r="D40" t="s">
        <v>318</v>
      </c>
      <c r="F40" t="s">
        <v>326</v>
      </c>
      <c r="G40">
        <f t="shared" si="3"/>
        <v>1040</v>
      </c>
      <c r="H40" t="str">
        <f t="shared" si="4"/>
        <v>`     His friend suggested that he take a loan to solve his cooking problem</v>
      </c>
      <c r="I40" t="s">
        <v>521</v>
      </c>
      <c r="J40" t="str">
        <f t="shared" si="5"/>
        <v>&lt;G2E&gt;&lt;G1P&gt;`     His friend suggested that he take a loan to solve his cooking problem</v>
      </c>
    </row>
    <row r="41" spans="1:10" ht="28.5" x14ac:dyDescent="0.25">
      <c r="A41" s="116" t="s">
        <v>1440</v>
      </c>
      <c r="B41" s="117" t="s">
        <v>1267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1015+1016+1017+1020+1026+1041+1050+1058+1064+1065</v>
      </c>
      <c r="H41" t="str">
        <f t="shared" si="4"/>
        <v>`GCREDIT (NET)&lt;Q&gt;</v>
      </c>
      <c r="J41" t="str">
        <f t="shared" si="5"/>
        <v>`GCREDIT (NET)&lt;Q&gt;</v>
      </c>
    </row>
    <row r="42" spans="1:10" x14ac:dyDescent="0.25">
      <c r="A42" s="116">
        <v>1015</v>
      </c>
      <c r="B42" s="118" t="s">
        <v>1268</v>
      </c>
      <c r="C42" t="s">
        <v>16</v>
      </c>
      <c r="D42" t="s">
        <v>318</v>
      </c>
      <c r="F42" t="s">
        <v>326</v>
      </c>
      <c r="G42">
        <f t="shared" si="3"/>
        <v>1015</v>
      </c>
      <c r="H42" t="str">
        <f t="shared" si="4"/>
        <v>`     Can borrow money from GCash using GCredit</v>
      </c>
      <c r="I42" t="s">
        <v>520</v>
      </c>
      <c r="J42" t="str">
        <f t="shared" si="5"/>
        <v>&lt;G2B&gt;&lt;G1P&gt;`     Can borrow money from GCash using GCredit</v>
      </c>
    </row>
    <row r="43" spans="1:10" ht="28.5" x14ac:dyDescent="0.25">
      <c r="A43" s="116">
        <v>1016</v>
      </c>
      <c r="B43" s="118" t="s">
        <v>1393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Can borrow money from GCash using GCredit for grocery expenses</v>
      </c>
      <c r="I43" t="s">
        <v>522</v>
      </c>
      <c r="J43" t="str">
        <f t="shared" si="5"/>
        <v>&lt;G1P&gt;`     Can borrow money from GCash using GCredit for grocery expenses</v>
      </c>
    </row>
    <row r="44" spans="1:10" x14ac:dyDescent="0.25">
      <c r="A44" s="116">
        <v>1017</v>
      </c>
      <c r="B44" s="118" t="s">
        <v>1394</v>
      </c>
      <c r="C44" t="s">
        <v>16</v>
      </c>
      <c r="D44" t="s">
        <v>318</v>
      </c>
      <c r="F44" t="s">
        <v>326</v>
      </c>
      <c r="G44">
        <f t="shared" si="3"/>
        <v>1017</v>
      </c>
      <c r="H44" t="str">
        <f t="shared" si="4"/>
        <v>`     Can borrow money from GCredit in times of need</v>
      </c>
      <c r="I44" t="s">
        <v>522</v>
      </c>
      <c r="J44" t="str">
        <f t="shared" si="5"/>
        <v>&lt;G1P&gt;`     Can borrow money from GCredit in times of need</v>
      </c>
    </row>
    <row r="45" spans="1:10" x14ac:dyDescent="0.25">
      <c r="A45" s="123">
        <v>1020</v>
      </c>
      <c r="B45" s="124" t="s">
        <v>1395</v>
      </c>
      <c r="C45" t="s">
        <v>16</v>
      </c>
      <c r="D45" t="s">
        <v>318</v>
      </c>
      <c r="F45" t="s">
        <v>326</v>
      </c>
      <c r="G45">
        <f t="shared" si="3"/>
        <v>1020</v>
      </c>
      <c r="H45" t="str">
        <f t="shared" si="4"/>
        <v>`     About GCredit</v>
      </c>
      <c r="I45" t="s">
        <v>522</v>
      </c>
      <c r="J45" t="str">
        <f t="shared" si="5"/>
        <v>&lt;G1P&gt;`     About GCredit</v>
      </c>
    </row>
    <row r="46" spans="1:10" x14ac:dyDescent="0.25">
      <c r="A46" s="123">
        <v>1026</v>
      </c>
      <c r="B46" s="124" t="s">
        <v>1396</v>
      </c>
      <c r="C46" t="s">
        <v>16</v>
      </c>
      <c r="D46" t="s">
        <v>318</v>
      </c>
      <c r="F46" t="s">
        <v>326</v>
      </c>
      <c r="G46">
        <f t="shared" si="3"/>
        <v>1026</v>
      </c>
      <c r="H46" t="str">
        <f t="shared" si="4"/>
        <v>`     GCredit has in GCash</v>
      </c>
      <c r="I46" t="s">
        <v>522</v>
      </c>
      <c r="J46" t="str">
        <f t="shared" si="5"/>
        <v>&lt;G1P&gt;`     GCredit has in GCash</v>
      </c>
    </row>
    <row r="47" spans="1:10" x14ac:dyDescent="0.25">
      <c r="A47" s="123">
        <v>1041</v>
      </c>
      <c r="B47" s="124" t="s">
        <v>1276</v>
      </c>
      <c r="C47" t="s">
        <v>16</v>
      </c>
      <c r="D47" t="s">
        <v>318</v>
      </c>
      <c r="F47" t="s">
        <v>326</v>
      </c>
      <c r="G47">
        <f t="shared" si="3"/>
        <v>1041</v>
      </c>
      <c r="H47" t="str">
        <f t="shared" si="4"/>
        <v>`     Gives GCredit</v>
      </c>
      <c r="I47" t="s">
        <v>522</v>
      </c>
      <c r="J47" t="str">
        <f t="shared" si="5"/>
        <v>&lt;G1P&gt;`     Gives GCredit</v>
      </c>
    </row>
    <row r="48" spans="1:10" x14ac:dyDescent="0.25">
      <c r="A48" s="123">
        <v>1050</v>
      </c>
      <c r="B48" s="124" t="s">
        <v>1270</v>
      </c>
      <c r="C48" t="s">
        <v>16</v>
      </c>
      <c r="D48" t="s">
        <v>318</v>
      </c>
      <c r="F48" t="s">
        <v>326</v>
      </c>
      <c r="G48">
        <f t="shared" si="3"/>
        <v>1050</v>
      </c>
      <c r="H48" t="str">
        <f t="shared" si="4"/>
        <v>`     GCredit</v>
      </c>
      <c r="I48" t="s">
        <v>522</v>
      </c>
      <c r="J48" t="str">
        <f t="shared" si="5"/>
        <v>&lt;G1P&gt;`     GCredit</v>
      </c>
    </row>
    <row r="49" spans="1:10" ht="28.5" x14ac:dyDescent="0.25">
      <c r="A49" s="125">
        <v>1058</v>
      </c>
      <c r="B49" s="126" t="s">
        <v>1397</v>
      </c>
      <c r="C49" t="s">
        <v>16</v>
      </c>
      <c r="D49" t="s">
        <v>318</v>
      </c>
      <c r="F49" t="s">
        <v>326</v>
      </c>
      <c r="G49">
        <f t="shared" si="3"/>
        <v>1058</v>
      </c>
      <c r="H49" t="str">
        <f t="shared" si="4"/>
        <v>`     Can borrow from GCredit in case lack of money for ingredients</v>
      </c>
      <c r="I49" t="s">
        <v>522</v>
      </c>
      <c r="J49" t="str">
        <f t="shared" si="5"/>
        <v>&lt;G1P&gt;`     Can borrow from GCredit in case lack of money for ingredients</v>
      </c>
    </row>
    <row r="50" spans="1:10" x14ac:dyDescent="0.25">
      <c r="A50" s="125">
        <v>1064</v>
      </c>
      <c r="B50" s="133" t="s">
        <v>1398</v>
      </c>
      <c r="C50" t="s">
        <v>16</v>
      </c>
      <c r="D50" t="s">
        <v>318</v>
      </c>
      <c r="F50" t="s">
        <v>326</v>
      </c>
      <c r="G50">
        <f t="shared" si="3"/>
        <v>1064</v>
      </c>
      <c r="H50" t="str">
        <f t="shared" si="4"/>
        <v>`     Gcredit can be used to buy anything</v>
      </c>
      <c r="I50" t="s">
        <v>522</v>
      </c>
      <c r="J50" t="str">
        <f t="shared" si="5"/>
        <v>&lt;G1P&gt;`     Gcredit can be used to buy anything</v>
      </c>
    </row>
    <row r="51" spans="1:10" x14ac:dyDescent="0.25">
      <c r="A51" s="125">
        <v>1065</v>
      </c>
      <c r="B51" s="133" t="s">
        <v>1399</v>
      </c>
      <c r="C51" t="s">
        <v>16</v>
      </c>
      <c r="D51" t="s">
        <v>318</v>
      </c>
      <c r="F51" t="s">
        <v>326</v>
      </c>
      <c r="G51">
        <f t="shared" si="3"/>
        <v>1065</v>
      </c>
      <c r="H51" t="str">
        <f t="shared" si="4"/>
        <v>`     Gcredit can be purchased at any store</v>
      </c>
      <c r="I51" t="s">
        <v>521</v>
      </c>
      <c r="J51" t="str">
        <f t="shared" si="5"/>
        <v>&lt;G2E&gt;&lt;G1P&gt;`     Gcredit can be purchased at any store</v>
      </c>
    </row>
    <row r="52" spans="1:10" ht="15.75" x14ac:dyDescent="0.25">
      <c r="A52" s="116" t="s">
        <v>1441</v>
      </c>
      <c r="B52" s="117" t="s">
        <v>1400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1018+1024+1057</v>
      </c>
      <c r="H52" t="str">
        <f t="shared" si="4"/>
        <v>`MENTIONS OF GCASH (NET)&lt;Q&gt;</v>
      </c>
      <c r="J52" t="str">
        <f t="shared" si="5"/>
        <v>`MENTIONS OF GCASH (NET)&lt;Q&gt;</v>
      </c>
    </row>
    <row r="53" spans="1:10" x14ac:dyDescent="0.25">
      <c r="A53" s="116">
        <v>1018</v>
      </c>
      <c r="B53" s="118" t="s">
        <v>641</v>
      </c>
      <c r="C53" t="s">
        <v>16</v>
      </c>
      <c r="D53" t="s">
        <v>318</v>
      </c>
      <c r="F53" t="s">
        <v>326</v>
      </c>
      <c r="G53">
        <f t="shared" si="3"/>
        <v>1018</v>
      </c>
      <c r="H53" t="str">
        <f t="shared" si="4"/>
        <v>`     GCash</v>
      </c>
      <c r="I53" t="s">
        <v>520</v>
      </c>
      <c r="J53" t="str">
        <f t="shared" si="5"/>
        <v>&lt;G2B&gt;&lt;G1P&gt;`     GCash</v>
      </c>
    </row>
    <row r="54" spans="1:10" x14ac:dyDescent="0.25">
      <c r="A54" s="116">
        <v>1024</v>
      </c>
      <c r="B54" s="118" t="s">
        <v>1401</v>
      </c>
      <c r="C54" t="s">
        <v>16</v>
      </c>
      <c r="D54" t="s">
        <v>318</v>
      </c>
      <c r="F54" t="s">
        <v>326</v>
      </c>
      <c r="G54">
        <f t="shared" si="3"/>
        <v>1024</v>
      </c>
      <c r="H54" t="str">
        <f t="shared" si="4"/>
        <v>`     GCash Credit</v>
      </c>
      <c r="I54" t="s">
        <v>522</v>
      </c>
      <c r="J54" t="str">
        <f t="shared" si="5"/>
        <v>&lt;G1P&gt;`     GCash Credit</v>
      </c>
    </row>
    <row r="55" spans="1:10" x14ac:dyDescent="0.25">
      <c r="A55" s="125">
        <v>1057</v>
      </c>
      <c r="B55" s="126" t="s">
        <v>442</v>
      </c>
      <c r="C55" t="s">
        <v>16</v>
      </c>
      <c r="D55" t="s">
        <v>318</v>
      </c>
      <c r="F55" t="s">
        <v>326</v>
      </c>
      <c r="G55">
        <f t="shared" si="3"/>
        <v>1057</v>
      </c>
      <c r="H55" t="str">
        <f t="shared" si="4"/>
        <v>`     Gcash loan</v>
      </c>
      <c r="I55" t="s">
        <v>521</v>
      </c>
      <c r="J55" t="str">
        <f t="shared" si="5"/>
        <v>&lt;G2E&gt;&lt;G1P&gt;`     Gcash loan</v>
      </c>
    </row>
    <row r="56" spans="1:10" ht="31.5" x14ac:dyDescent="0.25">
      <c r="A56" s="116" t="s">
        <v>1442</v>
      </c>
      <c r="B56" s="117" t="s">
        <v>1402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1035+1036</v>
      </c>
      <c r="H56" t="str">
        <f t="shared" si="4"/>
        <v>`FAST/ QUICK LOANS FROM GCASH NET (NET)&lt;Q&gt;</v>
      </c>
      <c r="J56" t="str">
        <f t="shared" si="5"/>
        <v>`FAST/ QUICK LOANS FROM GCASH NET (NET)&lt;Q&gt;</v>
      </c>
    </row>
    <row r="57" spans="1:10" x14ac:dyDescent="0.25">
      <c r="A57" s="123">
        <v>1035</v>
      </c>
      <c r="B57" s="124" t="s">
        <v>1403</v>
      </c>
      <c r="C57" t="s">
        <v>16</v>
      </c>
      <c r="D57" t="s">
        <v>318</v>
      </c>
      <c r="F57" t="s">
        <v>326</v>
      </c>
      <c r="G57">
        <f t="shared" si="3"/>
        <v>1035</v>
      </c>
      <c r="H57" t="str">
        <f t="shared" si="4"/>
        <v>`     Fast loaning processing</v>
      </c>
      <c r="I57" t="s">
        <v>520</v>
      </c>
      <c r="J57" t="str">
        <f t="shared" si="5"/>
        <v>&lt;G2B&gt;&lt;G1P&gt;`     Fast loaning processing</v>
      </c>
    </row>
    <row r="58" spans="1:10" x14ac:dyDescent="0.25">
      <c r="A58" s="123">
        <v>1036</v>
      </c>
      <c r="B58" s="124" t="s">
        <v>1404</v>
      </c>
      <c r="C58" t="s">
        <v>16</v>
      </c>
      <c r="D58" t="s">
        <v>318</v>
      </c>
      <c r="F58" t="s">
        <v>326</v>
      </c>
      <c r="G58">
        <f t="shared" si="3"/>
        <v>1036</v>
      </c>
      <c r="H58" t="str">
        <f t="shared" si="4"/>
        <v>`     Quick loan</v>
      </c>
      <c r="I58" t="s">
        <v>521</v>
      </c>
      <c r="J58" t="str">
        <f t="shared" si="5"/>
        <v>&lt;G2E&gt;&lt;G1P&gt;`     Quick loan</v>
      </c>
    </row>
    <row r="59" spans="1:10" ht="15.75" x14ac:dyDescent="0.25">
      <c r="A59" s="116" t="s">
        <v>1443</v>
      </c>
      <c r="B59" s="117" t="s">
        <v>1287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1028+1032+1033</v>
      </c>
      <c r="H59" t="str">
        <f t="shared" si="4"/>
        <v>`INSTANT LOANS FROM GCASH (NET)&lt;Q&gt;</v>
      </c>
      <c r="J59" t="str">
        <f t="shared" si="5"/>
        <v>`INSTANT LOANS FROM GCASH (NET)&lt;Q&gt;</v>
      </c>
    </row>
    <row r="60" spans="1:10" x14ac:dyDescent="0.25">
      <c r="A60" s="123">
        <v>1028</v>
      </c>
      <c r="B60" s="124" t="s">
        <v>1405</v>
      </c>
      <c r="C60" t="s">
        <v>16</v>
      </c>
      <c r="D60" t="s">
        <v>318</v>
      </c>
      <c r="F60" t="s">
        <v>326</v>
      </c>
      <c r="G60">
        <f t="shared" si="3"/>
        <v>1028</v>
      </c>
      <c r="H60" t="str">
        <f t="shared" si="4"/>
        <v>`     With GCash it's instant money</v>
      </c>
      <c r="I60" t="s">
        <v>520</v>
      </c>
      <c r="J60" t="str">
        <f t="shared" si="5"/>
        <v>&lt;G2B&gt;&lt;G1P&gt;`     With GCash it's instant money</v>
      </c>
    </row>
    <row r="61" spans="1:10" x14ac:dyDescent="0.25">
      <c r="A61" s="123">
        <v>1032</v>
      </c>
      <c r="B61" s="124" t="s">
        <v>1406</v>
      </c>
      <c r="C61" t="s">
        <v>16</v>
      </c>
      <c r="D61" t="s">
        <v>318</v>
      </c>
      <c r="F61" t="s">
        <v>326</v>
      </c>
      <c r="G61">
        <f t="shared" si="3"/>
        <v>1032</v>
      </c>
      <c r="H61" t="str">
        <f t="shared" si="4"/>
        <v>`     Instant Credit</v>
      </c>
      <c r="I61" t="s">
        <v>522</v>
      </c>
      <c r="J61" t="str">
        <f t="shared" si="5"/>
        <v>&lt;G1P&gt;`     Instant Credit</v>
      </c>
    </row>
    <row r="62" spans="1:10" x14ac:dyDescent="0.25">
      <c r="A62" s="123">
        <v>1033</v>
      </c>
      <c r="B62" s="124" t="s">
        <v>1407</v>
      </c>
      <c r="C62" t="s">
        <v>16</v>
      </c>
      <c r="D62" t="s">
        <v>318</v>
      </c>
      <c r="F62" t="s">
        <v>326</v>
      </c>
      <c r="G62">
        <f t="shared" si="3"/>
        <v>1033</v>
      </c>
      <c r="H62" t="str">
        <f t="shared" si="4"/>
        <v>`     Instant Credit line borrow with GCash</v>
      </c>
      <c r="I62" t="s">
        <v>521</v>
      </c>
      <c r="J62" t="str">
        <f t="shared" si="5"/>
        <v>&lt;G2E&gt;&lt;G1P&gt;`     Instant Credit line borrow with GCash</v>
      </c>
    </row>
    <row r="63" spans="1:10" ht="31.5" x14ac:dyDescent="0.25">
      <c r="A63" s="116">
        <v>1029</v>
      </c>
      <c r="B63" s="117" t="s">
        <v>1408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1029</v>
      </c>
      <c r="H63" t="str">
        <f t="shared" si="4"/>
        <v>`CAN BORROW MONEY FROM GCREDIT TO PAY FOR BILLS (NET)&lt;Q&gt;</v>
      </c>
      <c r="J63" t="str">
        <f t="shared" si="5"/>
        <v>`CAN BORROW MONEY FROM GCREDIT TO PAY FOR BILLS (NET)&lt;Q&gt;</v>
      </c>
    </row>
    <row r="64" spans="1:10" x14ac:dyDescent="0.25">
      <c r="A64" s="123">
        <v>1029</v>
      </c>
      <c r="B64" s="124" t="s">
        <v>1409</v>
      </c>
      <c r="C64" t="s">
        <v>16</v>
      </c>
      <c r="D64" t="s">
        <v>318</v>
      </c>
      <c r="F64" t="s">
        <v>326</v>
      </c>
      <c r="G64">
        <f t="shared" si="3"/>
        <v>1029</v>
      </c>
      <c r="H64" t="str">
        <f t="shared" si="4"/>
        <v>`     can borrow to pay for water using GCredit</v>
      </c>
      <c r="I64" t="s">
        <v>522</v>
      </c>
      <c r="J64" t="str">
        <f t="shared" si="5"/>
        <v>&lt;G1P&gt;`     can borrow to pay for water using GCredit</v>
      </c>
    </row>
    <row r="65" spans="1:10" ht="31.5" x14ac:dyDescent="0.25">
      <c r="A65" s="116">
        <v>1037</v>
      </c>
      <c r="B65" s="117" t="s">
        <v>1410</v>
      </c>
      <c r="C65" t="s">
        <v>6</v>
      </c>
      <c r="D65" t="s">
        <v>323</v>
      </c>
      <c r="E65" t="s">
        <v>322</v>
      </c>
      <c r="F65" t="s">
        <v>327</v>
      </c>
      <c r="G65">
        <f t="shared" si="3"/>
        <v>1037</v>
      </c>
      <c r="H65" t="str">
        <f t="shared" si="4"/>
        <v>`EASE OF GETTING A LOAN FROM GCASH (NET)&lt;Q&gt;</v>
      </c>
      <c r="J65" t="str">
        <f t="shared" si="5"/>
        <v>`EASE OF GETTING A LOAN FROM GCASH (NET)&lt;Q&gt;</v>
      </c>
    </row>
    <row r="66" spans="1:10" x14ac:dyDescent="0.25">
      <c r="A66" s="123">
        <v>1037</v>
      </c>
      <c r="B66" s="124" t="s">
        <v>1411</v>
      </c>
      <c r="C66" t="s">
        <v>16</v>
      </c>
      <c r="D66" t="s">
        <v>318</v>
      </c>
      <c r="F66" t="s">
        <v>326</v>
      </c>
      <c r="G66">
        <f t="shared" ref="G66:G99" si="6">IF(A66="","",A66)</f>
        <v>1037</v>
      </c>
      <c r="H66" t="str">
        <f t="shared" ref="H66:H99" si="7">_xlfn.CONCAT(D66,SUBSTITUTE(B66,"""","`"""),E66)</f>
        <v>`     Easy to get Credit in GCash</v>
      </c>
      <c r="I66" t="s">
        <v>522</v>
      </c>
      <c r="J66" t="str">
        <f t="shared" ref="J66:J97" si="8">_xlfn.CONCAT(I66,H66)</f>
        <v>&lt;G1P&gt;`     Easy to get Credit in GCash</v>
      </c>
    </row>
    <row r="67" spans="1:10" ht="15.75" x14ac:dyDescent="0.25">
      <c r="A67" s="116">
        <v>1038</v>
      </c>
      <c r="B67" s="117" t="s">
        <v>1412</v>
      </c>
      <c r="C67" t="s">
        <v>6</v>
      </c>
      <c r="D67" t="s">
        <v>323</v>
      </c>
      <c r="E67" t="s">
        <v>322</v>
      </c>
      <c r="F67" t="s">
        <v>327</v>
      </c>
      <c r="G67">
        <f t="shared" si="6"/>
        <v>1038</v>
      </c>
      <c r="H67" t="str">
        <f t="shared" si="7"/>
        <v>`EASE OF USING GCREDIT (NET)&lt;Q&gt;</v>
      </c>
      <c r="J67" t="str">
        <f t="shared" si="8"/>
        <v>`EASE OF USING GCREDIT (NET)&lt;Q&gt;</v>
      </c>
    </row>
    <row r="68" spans="1:10" x14ac:dyDescent="0.25">
      <c r="A68" s="123">
        <v>1038</v>
      </c>
      <c r="B68" s="124" t="s">
        <v>1413</v>
      </c>
      <c r="C68" t="s">
        <v>16</v>
      </c>
      <c r="D68" t="s">
        <v>318</v>
      </c>
      <c r="F68" t="s">
        <v>326</v>
      </c>
      <c r="G68">
        <f t="shared" si="6"/>
        <v>1038</v>
      </c>
      <c r="H68" t="str">
        <f t="shared" si="7"/>
        <v>`     Easy to use GCredit</v>
      </c>
      <c r="I68" t="s">
        <v>522</v>
      </c>
      <c r="J68" t="str">
        <f t="shared" si="8"/>
        <v>&lt;G1P&gt;`     Easy to use GCredit</v>
      </c>
    </row>
    <row r="69" spans="1:10" ht="15.75" x14ac:dyDescent="0.25">
      <c r="A69" s="116">
        <v>1030</v>
      </c>
      <c r="B69" s="117" t="s">
        <v>1414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1030</v>
      </c>
      <c r="H69" t="str">
        <f t="shared" si="7"/>
        <v>`FAST TRASACTION (NET)&lt;Q&gt;</v>
      </c>
      <c r="J69" t="str">
        <f t="shared" si="8"/>
        <v>`FAST TRASACTION (NET)&lt;Q&gt;</v>
      </c>
    </row>
    <row r="70" spans="1:10" x14ac:dyDescent="0.25">
      <c r="A70" s="123">
        <v>1030</v>
      </c>
      <c r="B70" s="124" t="s">
        <v>412</v>
      </c>
      <c r="C70" t="s">
        <v>16</v>
      </c>
      <c r="D70" t="s">
        <v>318</v>
      </c>
      <c r="F70" t="s">
        <v>326</v>
      </c>
      <c r="G70">
        <f t="shared" si="6"/>
        <v>1030</v>
      </c>
      <c r="H70" t="str">
        <f t="shared" si="7"/>
        <v>`     Fast transaction</v>
      </c>
      <c r="I70" t="s">
        <v>522</v>
      </c>
      <c r="J70" t="str">
        <f t="shared" si="8"/>
        <v>&lt;G1P&gt;`     Fast transaction</v>
      </c>
    </row>
    <row r="71" spans="1:10" ht="15.75" x14ac:dyDescent="0.25">
      <c r="A71" s="116">
        <v>1044</v>
      </c>
      <c r="B71" s="117" t="s">
        <v>388</v>
      </c>
      <c r="C71" t="s">
        <v>6</v>
      </c>
      <c r="D71" t="s">
        <v>323</v>
      </c>
      <c r="E71" t="s">
        <v>322</v>
      </c>
      <c r="F71" t="s">
        <v>327</v>
      </c>
      <c r="G71">
        <f t="shared" si="6"/>
        <v>1044</v>
      </c>
      <c r="H71" t="str">
        <f t="shared" si="7"/>
        <v>`GCASH CAN BE USED ANYWHERE (NET)&lt;Q&gt;</v>
      </c>
      <c r="J71" t="str">
        <f t="shared" si="8"/>
        <v>`GCASH CAN BE USED ANYWHERE (NET)&lt;Q&gt;</v>
      </c>
    </row>
    <row r="72" spans="1:10" x14ac:dyDescent="0.25">
      <c r="A72" s="123">
        <v>1044</v>
      </c>
      <c r="B72" s="124" t="s">
        <v>1415</v>
      </c>
      <c r="C72" t="s">
        <v>16</v>
      </c>
      <c r="D72" t="s">
        <v>318</v>
      </c>
      <c r="F72" t="s">
        <v>326</v>
      </c>
      <c r="G72">
        <f t="shared" si="6"/>
        <v>1044</v>
      </c>
      <c r="H72" t="str">
        <f t="shared" si="7"/>
        <v>`     Can ba used for payment anywhere</v>
      </c>
      <c r="I72" t="s">
        <v>522</v>
      </c>
      <c r="J72" t="str">
        <f t="shared" si="8"/>
        <v>&lt;G1P&gt;`     Can ba used for payment anywhere</v>
      </c>
    </row>
    <row r="73" spans="1:10" ht="15.75" x14ac:dyDescent="0.25">
      <c r="A73" s="116" t="s">
        <v>1444</v>
      </c>
      <c r="B73" s="117" t="s">
        <v>1280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1031+1059</v>
      </c>
      <c r="H73" t="str">
        <f t="shared" si="7"/>
        <v>`GLOAN (NET)&lt;Q&gt;</v>
      </c>
      <c r="J73" t="str">
        <f t="shared" si="8"/>
        <v>`GLOAN (NET)&lt;Q&gt;</v>
      </c>
    </row>
    <row r="74" spans="1:10" x14ac:dyDescent="0.25">
      <c r="A74" s="123">
        <v>1031</v>
      </c>
      <c r="B74" s="124" t="s">
        <v>977</v>
      </c>
      <c r="C74" t="s">
        <v>16</v>
      </c>
      <c r="D74" t="s">
        <v>318</v>
      </c>
      <c r="F74" t="s">
        <v>326</v>
      </c>
      <c r="G74">
        <f t="shared" si="6"/>
        <v>1031</v>
      </c>
      <c r="H74" t="str">
        <f t="shared" si="7"/>
        <v>`     GLoan</v>
      </c>
      <c r="I74" t="s">
        <v>520</v>
      </c>
      <c r="J74" t="str">
        <f t="shared" si="8"/>
        <v>&lt;G2B&gt;&lt;G1P&gt;`     GLoan</v>
      </c>
    </row>
    <row r="75" spans="1:10" ht="28.5" x14ac:dyDescent="0.25">
      <c r="A75" s="125">
        <v>1059</v>
      </c>
      <c r="B75" s="126" t="s">
        <v>1416</v>
      </c>
      <c r="C75" t="s">
        <v>16</v>
      </c>
      <c r="D75" t="s">
        <v>318</v>
      </c>
      <c r="F75" t="s">
        <v>326</v>
      </c>
      <c r="G75">
        <f t="shared" si="6"/>
        <v>1059</v>
      </c>
      <c r="H75" t="str">
        <f t="shared" si="7"/>
        <v>`     Can borrow from Gloan in case lack of money for ingredients</v>
      </c>
      <c r="I75" t="s">
        <v>521</v>
      </c>
      <c r="J75" t="str">
        <f t="shared" si="8"/>
        <v>&lt;G2E&gt;&lt;G1P&gt;`     Can borrow from Gloan in case lack of money for ingredients</v>
      </c>
    </row>
    <row r="76" spans="1:10" ht="15.75" x14ac:dyDescent="0.25">
      <c r="A76" s="116" t="s">
        <v>1445</v>
      </c>
      <c r="B76" s="117" t="s">
        <v>1417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1055+1056+1063</v>
      </c>
      <c r="H76" t="str">
        <f t="shared" si="7"/>
        <v>`CREDIT (NET)&lt;Q&gt;</v>
      </c>
      <c r="I76" t="s">
        <v>519</v>
      </c>
      <c r="J76" t="str">
        <f t="shared" si="8"/>
        <v>&lt;G1E&gt;`CREDIT (NET)&lt;Q&gt;</v>
      </c>
    </row>
    <row r="77" spans="1:10" x14ac:dyDescent="0.25">
      <c r="A77" s="125">
        <v>1055</v>
      </c>
      <c r="B77" s="126" t="s">
        <v>1418</v>
      </c>
      <c r="C77" t="s">
        <v>16</v>
      </c>
      <c r="D77" t="s">
        <v>318</v>
      </c>
      <c r="F77" t="s">
        <v>326</v>
      </c>
      <c r="G77">
        <f t="shared" si="6"/>
        <v>1055</v>
      </c>
      <c r="H77" t="str">
        <f t="shared" si="7"/>
        <v>`     Credit Line</v>
      </c>
      <c r="I77" t="s">
        <v>520</v>
      </c>
      <c r="J77" t="str">
        <f t="shared" si="8"/>
        <v>&lt;G2B&gt;&lt;G1P&gt;`     Credit Line</v>
      </c>
    </row>
    <row r="78" spans="1:10" x14ac:dyDescent="0.25">
      <c r="A78" s="125">
        <v>1056</v>
      </c>
      <c r="B78" s="126" t="s">
        <v>1419</v>
      </c>
      <c r="C78" t="s">
        <v>16</v>
      </c>
      <c r="D78" t="s">
        <v>318</v>
      </c>
      <c r="F78" t="s">
        <v>326</v>
      </c>
      <c r="G78">
        <f t="shared" si="6"/>
        <v>1056</v>
      </c>
      <c r="H78" t="str">
        <f t="shared" si="7"/>
        <v>`     Credit Loan</v>
      </c>
      <c r="I78" t="s">
        <v>522</v>
      </c>
      <c r="J78" t="str">
        <f t="shared" si="8"/>
        <v>&lt;G1P&gt;`     Credit Loan</v>
      </c>
    </row>
    <row r="79" spans="1:10" x14ac:dyDescent="0.25">
      <c r="A79" s="125">
        <v>1063</v>
      </c>
      <c r="B79" s="126" t="s">
        <v>1420</v>
      </c>
      <c r="C79" t="s">
        <v>16</v>
      </c>
      <c r="D79" t="s">
        <v>318</v>
      </c>
      <c r="F79" t="s">
        <v>326</v>
      </c>
      <c r="G79">
        <f t="shared" si="6"/>
        <v>1063</v>
      </c>
      <c r="H79" t="str">
        <f t="shared" si="7"/>
        <v>`     Can borrow Gcredit from Gcash food allowance</v>
      </c>
      <c r="I79" t="s">
        <v>521</v>
      </c>
      <c r="J79" t="str">
        <f t="shared" si="8"/>
        <v>&lt;G2E&gt;&lt;G1P&gt;`     Can borrow Gcredit from Gcash food allowance</v>
      </c>
    </row>
    <row r="80" spans="1:10" ht="15.75" x14ac:dyDescent="0.25">
      <c r="A80" s="116" t="s">
        <v>1446</v>
      </c>
      <c r="B80" s="117" t="s">
        <v>332</v>
      </c>
      <c r="C80" t="s">
        <v>6</v>
      </c>
      <c r="D80" t="s">
        <v>323</v>
      </c>
      <c r="E80" t="s">
        <v>322</v>
      </c>
      <c r="F80" t="s">
        <v>327</v>
      </c>
      <c r="G80" t="str">
        <f t="shared" si="6"/>
        <v>1021+1023+1047+1019+1034+1053+1062+1066</v>
      </c>
      <c r="H80" t="str">
        <f t="shared" si="7"/>
        <v>`OTHERS (NET)&lt;Q&gt;</v>
      </c>
      <c r="J80" t="str">
        <f t="shared" si="8"/>
        <v>`OTHERS (NET)&lt;Q&gt;</v>
      </c>
    </row>
    <row r="81" spans="1:10" x14ac:dyDescent="0.25">
      <c r="A81" s="123">
        <v>1021</v>
      </c>
      <c r="B81" s="124" t="s">
        <v>1421</v>
      </c>
      <c r="C81" t="s">
        <v>16</v>
      </c>
      <c r="D81" t="s">
        <v>318</v>
      </c>
      <c r="F81" t="s">
        <v>326</v>
      </c>
      <c r="G81">
        <f t="shared" si="6"/>
        <v>1021</v>
      </c>
      <c r="H81" t="str">
        <f t="shared" si="7"/>
        <v>`     Cash Credit has instant limit</v>
      </c>
      <c r="I81" t="s">
        <v>520</v>
      </c>
      <c r="J81" t="str">
        <f t="shared" si="8"/>
        <v>&lt;G2B&gt;&lt;G1P&gt;`     Cash Credit has instant limit</v>
      </c>
    </row>
    <row r="82" spans="1:10" x14ac:dyDescent="0.25">
      <c r="A82" s="123">
        <v>1023</v>
      </c>
      <c r="B82" s="124" t="s">
        <v>1422</v>
      </c>
      <c r="C82" t="s">
        <v>16</v>
      </c>
      <c r="D82" t="s">
        <v>318</v>
      </c>
      <c r="F82" t="s">
        <v>326</v>
      </c>
      <c r="G82">
        <f t="shared" si="6"/>
        <v>1023</v>
      </c>
      <c r="H82" t="str">
        <f t="shared" si="7"/>
        <v>`     I like ads</v>
      </c>
      <c r="I82" t="s">
        <v>522</v>
      </c>
      <c r="J82" t="str">
        <f t="shared" si="8"/>
        <v>&lt;G1P&gt;`     I like ads</v>
      </c>
    </row>
    <row r="83" spans="1:10" x14ac:dyDescent="0.25">
      <c r="A83" s="119">
        <v>1047</v>
      </c>
      <c r="B83" s="120" t="s">
        <v>1423</v>
      </c>
      <c r="C83" t="s">
        <v>16</v>
      </c>
      <c r="D83" t="s">
        <v>318</v>
      </c>
      <c r="F83" t="s">
        <v>326</v>
      </c>
      <c r="G83">
        <f t="shared" si="6"/>
        <v>1047</v>
      </c>
      <c r="H83" t="str">
        <f t="shared" si="7"/>
        <v>`     Additional for budget</v>
      </c>
      <c r="I83" t="s">
        <v>522</v>
      </c>
      <c r="J83" t="str">
        <f t="shared" si="8"/>
        <v>&lt;G1P&gt;`     Additional for budget</v>
      </c>
    </row>
    <row r="84" spans="1:10" x14ac:dyDescent="0.25">
      <c r="A84" s="134">
        <v>1019</v>
      </c>
      <c r="B84" s="135" t="s">
        <v>1424</v>
      </c>
      <c r="C84" t="s">
        <v>16</v>
      </c>
      <c r="D84" t="s">
        <v>318</v>
      </c>
      <c r="F84" t="s">
        <v>326</v>
      </c>
      <c r="G84">
        <f t="shared" si="6"/>
        <v>1019</v>
      </c>
      <c r="H84" t="str">
        <f t="shared" si="7"/>
        <v>`     Can buy even if you don’t have money</v>
      </c>
      <c r="I84" t="s">
        <v>522</v>
      </c>
      <c r="J84" t="str">
        <f t="shared" si="8"/>
        <v>&lt;G1P&gt;`     Can buy even if you don’t have money</v>
      </c>
    </row>
    <row r="85" spans="1:10" x14ac:dyDescent="0.25">
      <c r="A85" s="123">
        <v>1034</v>
      </c>
      <c r="B85" s="124" t="s">
        <v>1425</v>
      </c>
      <c r="C85" t="s">
        <v>16</v>
      </c>
      <c r="D85" t="s">
        <v>318</v>
      </c>
      <c r="F85" t="s">
        <v>326</v>
      </c>
      <c r="G85">
        <f t="shared" si="6"/>
        <v>1034</v>
      </c>
      <c r="H85" t="str">
        <f t="shared" si="7"/>
        <v>`     All money problems can be solved with GCash</v>
      </c>
      <c r="I85" t="s">
        <v>522</v>
      </c>
      <c r="J85" t="str">
        <f t="shared" si="8"/>
        <v>&lt;G1P&gt;`     All money problems can be solved with GCash</v>
      </c>
    </row>
    <row r="86" spans="1:10" x14ac:dyDescent="0.25">
      <c r="A86" s="125">
        <v>1053</v>
      </c>
      <c r="B86" s="126" t="s">
        <v>1426</v>
      </c>
      <c r="C86" t="s">
        <v>16</v>
      </c>
      <c r="D86" t="s">
        <v>318</v>
      </c>
      <c r="F86" t="s">
        <v>326</v>
      </c>
      <c r="G86">
        <f t="shared" si="6"/>
        <v>1053</v>
      </c>
      <c r="H86" t="str">
        <f t="shared" si="7"/>
        <v>`     Borrow from Gcash to start a business</v>
      </c>
      <c r="I86" t="s">
        <v>522</v>
      </c>
      <c r="J86" t="str">
        <f t="shared" si="8"/>
        <v>&lt;G1P&gt;`     Borrow from Gcash to start a business</v>
      </c>
    </row>
    <row r="87" spans="1:10" x14ac:dyDescent="0.25">
      <c r="A87" s="125">
        <v>1062</v>
      </c>
      <c r="B87" s="126" t="s">
        <v>1427</v>
      </c>
      <c r="C87" t="s">
        <v>16</v>
      </c>
      <c r="D87" t="s">
        <v>318</v>
      </c>
      <c r="F87" t="s">
        <v>326</v>
      </c>
      <c r="G87">
        <f t="shared" si="6"/>
        <v>1062</v>
      </c>
      <c r="H87" t="str">
        <f t="shared" si="7"/>
        <v>`     Grocery loan</v>
      </c>
      <c r="I87" t="s">
        <v>522</v>
      </c>
      <c r="J87" t="str">
        <f t="shared" si="8"/>
        <v>&lt;G1P&gt;`     Grocery loan</v>
      </c>
    </row>
    <row r="88" spans="1:10" x14ac:dyDescent="0.25">
      <c r="A88" s="125">
        <v>1066</v>
      </c>
      <c r="B88" s="126" t="s">
        <v>1428</v>
      </c>
      <c r="C88" t="s">
        <v>16</v>
      </c>
      <c r="D88" t="s">
        <v>318</v>
      </c>
      <c r="F88" t="s">
        <v>326</v>
      </c>
      <c r="G88">
        <f t="shared" si="6"/>
        <v>1066</v>
      </c>
      <c r="H88" t="str">
        <f t="shared" si="7"/>
        <v>`     Can loan without hassle</v>
      </c>
      <c r="I88" t="s">
        <v>521</v>
      </c>
      <c r="J88" t="str">
        <f t="shared" si="8"/>
        <v>&lt;G2E&gt;&lt;G1P&gt;`     Can loan without hassle</v>
      </c>
    </row>
    <row r="89" spans="1:10" ht="15.75" x14ac:dyDescent="0.25">
      <c r="A89" s="116" t="s">
        <v>1447</v>
      </c>
      <c r="B89" s="103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 t="shared" si="6"/>
        <v>1039+1043+1052+1060+1061+1067</v>
      </c>
      <c r="H89" t="str">
        <f t="shared" si="7"/>
        <v>`VAGUE (NET)&lt;Q&gt;</v>
      </c>
      <c r="J89" t="str">
        <f t="shared" si="8"/>
        <v>`VAGUE (NET)&lt;Q&gt;</v>
      </c>
    </row>
    <row r="90" spans="1:10" x14ac:dyDescent="0.25">
      <c r="A90" s="123">
        <v>1039</v>
      </c>
      <c r="B90" s="124" t="s">
        <v>787</v>
      </c>
      <c r="C90" t="s">
        <v>16</v>
      </c>
      <c r="D90" t="s">
        <v>318</v>
      </c>
      <c r="F90" t="s">
        <v>326</v>
      </c>
      <c r="G90">
        <f t="shared" si="6"/>
        <v>1039</v>
      </c>
      <c r="H90" t="str">
        <f t="shared" si="7"/>
        <v>`     Nice</v>
      </c>
      <c r="I90" t="s">
        <v>520</v>
      </c>
      <c r="J90" t="str">
        <f t="shared" si="8"/>
        <v>&lt;G2B&gt;&lt;G1P&gt;`     Nice</v>
      </c>
    </row>
    <row r="91" spans="1:10" x14ac:dyDescent="0.25">
      <c r="A91" s="123">
        <v>1043</v>
      </c>
      <c r="B91" s="124" t="s">
        <v>784</v>
      </c>
      <c r="C91" t="s">
        <v>16</v>
      </c>
      <c r="D91" t="s">
        <v>318</v>
      </c>
      <c r="F91" t="s">
        <v>326</v>
      </c>
      <c r="G91">
        <f t="shared" si="6"/>
        <v>1043</v>
      </c>
      <c r="H91" t="str">
        <f t="shared" si="7"/>
        <v>`     It's okay</v>
      </c>
      <c r="I91" t="s">
        <v>522</v>
      </c>
      <c r="J91" t="str">
        <f t="shared" si="8"/>
        <v>&lt;G1P&gt;`     It's okay</v>
      </c>
    </row>
    <row r="92" spans="1:10" x14ac:dyDescent="0.25">
      <c r="A92" s="125">
        <v>1052</v>
      </c>
      <c r="B92" s="126" t="s">
        <v>1429</v>
      </c>
      <c r="C92" t="s">
        <v>16</v>
      </c>
      <c r="D92" t="s">
        <v>318</v>
      </c>
      <c r="F92" t="s">
        <v>326</v>
      </c>
      <c r="G92">
        <f t="shared" si="6"/>
        <v>1052</v>
      </c>
      <c r="H92" t="str">
        <f t="shared" si="7"/>
        <v>`     Give Idea</v>
      </c>
      <c r="I92" t="s">
        <v>522</v>
      </c>
      <c r="J92" t="str">
        <f t="shared" si="8"/>
        <v>&lt;G1P&gt;`     Give Idea</v>
      </c>
    </row>
    <row r="93" spans="1:10" x14ac:dyDescent="0.25">
      <c r="A93" s="125">
        <v>1060</v>
      </c>
      <c r="B93" s="126" t="s">
        <v>1048</v>
      </c>
      <c r="C93" t="s">
        <v>16</v>
      </c>
      <c r="D93" t="s">
        <v>318</v>
      </c>
      <c r="F93" t="s">
        <v>326</v>
      </c>
      <c r="G93">
        <f t="shared" si="6"/>
        <v>1060</v>
      </c>
      <c r="H93" t="str">
        <f t="shared" si="7"/>
        <v>`     Good</v>
      </c>
      <c r="I93" t="s">
        <v>522</v>
      </c>
      <c r="J93" t="str">
        <f t="shared" si="8"/>
        <v>&lt;G1P&gt;`     Good</v>
      </c>
    </row>
    <row r="94" spans="1:10" x14ac:dyDescent="0.25">
      <c r="A94" s="125">
        <v>1061</v>
      </c>
      <c r="B94" s="126" t="s">
        <v>1430</v>
      </c>
      <c r="C94" t="s">
        <v>16</v>
      </c>
      <c r="D94" t="s">
        <v>318</v>
      </c>
      <c r="F94" t="s">
        <v>326</v>
      </c>
      <c r="G94">
        <f t="shared" si="6"/>
        <v>1061</v>
      </c>
      <c r="H94" t="str">
        <f t="shared" si="7"/>
        <v>`     Great</v>
      </c>
      <c r="I94" t="s">
        <v>522</v>
      </c>
      <c r="J94" t="str">
        <f t="shared" si="8"/>
        <v>&lt;G1P&gt;`     Great</v>
      </c>
    </row>
    <row r="95" spans="1:10" x14ac:dyDescent="0.25">
      <c r="A95" s="125">
        <v>1067</v>
      </c>
      <c r="B95" s="126" t="s">
        <v>1431</v>
      </c>
      <c r="C95" t="s">
        <v>16</v>
      </c>
      <c r="D95" t="s">
        <v>318</v>
      </c>
      <c r="F95" t="s">
        <v>326</v>
      </c>
      <c r="G95">
        <f t="shared" si="6"/>
        <v>1067</v>
      </c>
      <c r="H95" t="str">
        <f t="shared" si="7"/>
        <v>`     Lack of information</v>
      </c>
      <c r="I95" t="s">
        <v>521</v>
      </c>
      <c r="J95" t="str">
        <f t="shared" si="8"/>
        <v>&lt;G2E&gt;&lt;G1P&gt;`     Lack of information</v>
      </c>
    </row>
    <row r="96" spans="1:10" x14ac:dyDescent="0.25">
      <c r="A96" s="123">
        <v>9996</v>
      </c>
      <c r="B96" s="131" t="s">
        <v>302</v>
      </c>
      <c r="G96">
        <f t="shared" si="6"/>
        <v>9996</v>
      </c>
      <c r="H96" t="str">
        <f t="shared" si="7"/>
        <v>Can't say</v>
      </c>
      <c r="J96" t="str">
        <f t="shared" si="8"/>
        <v>Can't say</v>
      </c>
    </row>
    <row r="97" spans="1:10" x14ac:dyDescent="0.25">
      <c r="A97" s="123">
        <v>9997</v>
      </c>
      <c r="B97" s="131" t="s">
        <v>796</v>
      </c>
      <c r="G97">
        <f t="shared" si="6"/>
        <v>9997</v>
      </c>
      <c r="H97" t="str">
        <f t="shared" si="7"/>
        <v>No comment</v>
      </c>
      <c r="J97" t="str">
        <f t="shared" si="8"/>
        <v>No comment</v>
      </c>
    </row>
    <row r="98" spans="1:10" x14ac:dyDescent="0.25">
      <c r="A98" s="123">
        <v>9998</v>
      </c>
      <c r="B98" s="124" t="s">
        <v>336</v>
      </c>
      <c r="G98">
        <f t="shared" si="6"/>
        <v>9998</v>
      </c>
      <c r="H98" t="str">
        <f t="shared" si="7"/>
        <v>Don't know</v>
      </c>
      <c r="J98" t="str">
        <f t="shared" ref="J98:J99" si="9">_xlfn.CONCAT(I98,H98)</f>
        <v>Don't know</v>
      </c>
    </row>
    <row r="99" spans="1:10" x14ac:dyDescent="0.25">
      <c r="A99" s="123">
        <v>9999</v>
      </c>
      <c r="B99" s="124" t="s">
        <v>303</v>
      </c>
      <c r="G99">
        <f t="shared" si="6"/>
        <v>9999</v>
      </c>
      <c r="H99" t="str">
        <f t="shared" si="7"/>
        <v>None</v>
      </c>
      <c r="J99" t="str">
        <f t="shared" si="9"/>
        <v>None</v>
      </c>
    </row>
    <row r="100" spans="1:10" x14ac:dyDescent="0.25">
      <c r="A100" s="136"/>
      <c r="B100" s="137"/>
    </row>
    <row r="101" spans="1:10" x14ac:dyDescent="0.25">
      <c r="A101" s="136"/>
      <c r="B101" s="137"/>
    </row>
    <row r="102" spans="1:10" x14ac:dyDescent="0.25">
      <c r="A102" s="136"/>
      <c r="B102" s="137"/>
    </row>
    <row r="103" spans="1:10" x14ac:dyDescent="0.25">
      <c r="A103" s="116"/>
      <c r="B103" s="118"/>
    </row>
    <row r="104" spans="1:10" x14ac:dyDescent="0.25">
      <c r="A104" s="116"/>
      <c r="B104" s="118"/>
    </row>
    <row r="105" spans="1:10" x14ac:dyDescent="0.25">
      <c r="A105" s="116"/>
      <c r="B105" s="118"/>
    </row>
    <row r="106" spans="1:10" x14ac:dyDescent="0.25">
      <c r="A106" s="116"/>
      <c r="B106" s="118"/>
    </row>
    <row r="107" spans="1:10" x14ac:dyDescent="0.25">
      <c r="A107" s="116"/>
      <c r="B107" s="118"/>
    </row>
    <row r="108" spans="1:10" x14ac:dyDescent="0.25">
      <c r="A108" s="116"/>
      <c r="B108" s="118"/>
    </row>
    <row r="109" spans="1:10" x14ac:dyDescent="0.25">
      <c r="A109" s="116"/>
      <c r="B109" s="118"/>
    </row>
    <row r="110" spans="1:10" x14ac:dyDescent="0.25">
      <c r="A110" s="116"/>
      <c r="B110" s="118"/>
    </row>
    <row r="111" spans="1:10" x14ac:dyDescent="0.25">
      <c r="A111" s="116"/>
      <c r="B111" s="118"/>
    </row>
    <row r="112" spans="1:10" x14ac:dyDescent="0.25">
      <c r="A112" s="116"/>
      <c r="B112" s="118"/>
    </row>
    <row r="113" spans="1:2" x14ac:dyDescent="0.25">
      <c r="A113" s="116"/>
      <c r="B113" s="118"/>
    </row>
    <row r="114" spans="1:2" x14ac:dyDescent="0.25">
      <c r="A114" s="116"/>
      <c r="B114" s="118"/>
    </row>
    <row r="115" spans="1:2" x14ac:dyDescent="0.25">
      <c r="A115" s="116"/>
      <c r="B115" s="118"/>
    </row>
    <row r="116" spans="1:2" x14ac:dyDescent="0.25">
      <c r="A116" s="116"/>
      <c r="B116" s="118"/>
    </row>
    <row r="117" spans="1:2" x14ac:dyDescent="0.25">
      <c r="A117" s="116"/>
      <c r="B117" s="118"/>
    </row>
    <row r="118" spans="1:2" x14ac:dyDescent="0.25">
      <c r="A118" s="116"/>
      <c r="B118" s="118"/>
    </row>
    <row r="119" spans="1:2" x14ac:dyDescent="0.25">
      <c r="A119" s="116"/>
      <c r="B119" s="118"/>
    </row>
    <row r="120" spans="1:2" x14ac:dyDescent="0.25">
      <c r="A120" s="116"/>
      <c r="B120" s="118"/>
    </row>
    <row r="121" spans="1:2" x14ac:dyDescent="0.25">
      <c r="A121" s="116"/>
      <c r="B121" s="118"/>
    </row>
    <row r="122" spans="1:2" x14ac:dyDescent="0.25">
      <c r="A122" s="116"/>
      <c r="B122" s="118"/>
    </row>
  </sheetData>
  <autoFilter ref="A1:C122" xr:uid="{51E06A4D-461D-42B0-BFB8-66BDBFBE9AEE}"/>
  <conditionalFormatting sqref="A75">
    <cfRule type="duplicateValues" dxfId="67" priority="11"/>
  </conditionalFormatting>
  <conditionalFormatting sqref="A86:A88 A77:A78">
    <cfRule type="duplicateValues" dxfId="66" priority="13"/>
  </conditionalFormatting>
  <conditionalFormatting sqref="A85 A57:A58 A60:A62 A64 A66 A68 A70 A74 A72 A6:A7 A40 A20:A21 A10 A80:A83 A24 A46:A47">
    <cfRule type="duplicateValues" dxfId="65" priority="61"/>
  </conditionalFormatting>
  <conditionalFormatting sqref="A89">
    <cfRule type="duplicateValues" dxfId="64" priority="44"/>
    <cfRule type="duplicateValues" dxfId="63" priority="45"/>
    <cfRule type="duplicateValues" dxfId="62" priority="46"/>
    <cfRule type="duplicateValues" dxfId="61" priority="47"/>
    <cfRule type="duplicateValues" dxfId="60" priority="48"/>
    <cfRule type="duplicateValues" dxfId="59" priority="49"/>
  </conditionalFormatting>
  <conditionalFormatting sqref="A96">
    <cfRule type="duplicateValues" dxfId="58" priority="50"/>
    <cfRule type="duplicateValues" dxfId="57" priority="51"/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A97">
    <cfRule type="duplicateValues" dxfId="52" priority="28"/>
    <cfRule type="duplicateValues" dxfId="51" priority="31"/>
    <cfRule type="duplicateValues" dxfId="50" priority="32"/>
    <cfRule type="duplicateValues" dxfId="49" priority="33"/>
    <cfRule type="duplicateValues" dxfId="48" priority="34"/>
  </conditionalFormatting>
  <conditionalFormatting sqref="A98">
    <cfRule type="duplicateValues" dxfId="47" priority="35"/>
    <cfRule type="duplicateValues" dxfId="46" priority="36"/>
    <cfRule type="duplicateValues" dxfId="45" priority="39"/>
    <cfRule type="duplicateValues" dxfId="44" priority="40"/>
    <cfRule type="duplicateValues" dxfId="43" priority="41"/>
    <cfRule type="duplicateValues" dxfId="42" priority="42"/>
  </conditionalFormatting>
  <conditionalFormatting sqref="A99">
    <cfRule type="duplicateValues" dxfId="41" priority="17"/>
    <cfRule type="duplicateValues" dxfId="40" priority="20"/>
    <cfRule type="duplicateValues" dxfId="39" priority="21"/>
    <cfRule type="duplicateValues" dxfId="38" priority="22"/>
    <cfRule type="duplicateValues" dxfId="37" priority="23"/>
    <cfRule type="duplicateValues" dxfId="36" priority="24"/>
    <cfRule type="duplicateValues" dxfId="35" priority="25"/>
  </conditionalFormatting>
  <conditionalFormatting sqref="A103:A122 A1:A5 A8:A9 A22:A23 A41:A45 A59 A63 A65 A67 A69 A71 A73 A25:A39 A76 A79 A90:A95 A48:A56 A11:A19">
    <cfRule type="duplicateValues" dxfId="34" priority="60"/>
  </conditionalFormatting>
  <conditionalFormatting sqref="A103:A122 A90:A95 A85:A88 A1:A83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50:B51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</conditionalFormatting>
  <conditionalFormatting sqref="B89">
    <cfRule type="duplicateValues" dxfId="18" priority="43"/>
  </conditionalFormatting>
  <conditionalFormatting sqref="B96">
    <cfRule type="duplicateValues" dxfId="17" priority="52"/>
    <cfRule type="duplicateValues" dxfId="16" priority="53"/>
  </conditionalFormatting>
  <conditionalFormatting sqref="B97">
    <cfRule type="duplicateValues" dxfId="15" priority="29"/>
    <cfRule type="duplicateValues" dxfId="14" priority="30"/>
  </conditionalFormatting>
  <conditionalFormatting sqref="B98">
    <cfRule type="duplicateValues" dxfId="13" priority="37"/>
    <cfRule type="duplicateValues" dxfId="12" priority="38"/>
  </conditionalFormatting>
  <conditionalFormatting sqref="B99">
    <cfRule type="duplicateValues" dxfId="11" priority="18"/>
    <cfRule type="duplicateValues" dxfId="10" priority="19"/>
    <cfRule type="duplicateValues" dxfId="9" priority="26"/>
    <cfRule type="duplicateValues" dxfId="8" priority="27"/>
  </conditionalFormatting>
  <conditionalFormatting sqref="B103:B122 B90:B95 B85:B88 B1:B49 B52:B83">
    <cfRule type="duplicateValues" dxfId="7" priority="69"/>
    <cfRule type="duplicateValues" dxfId="6" priority="70"/>
  </conditionalFormatting>
  <conditionalFormatting sqref="A100:A122 A1:A98">
    <cfRule type="duplicateValues" dxfId="5" priority="737"/>
  </conditionalFormatting>
  <conditionalFormatting sqref="B100:B122 B1:B49 B52:B98">
    <cfRule type="duplicateValues" dxfId="4" priority="781"/>
  </conditionalFormatting>
  <conditionalFormatting sqref="B52:B122 B1:B49">
    <cfRule type="duplicateValues" dxfId="3" priority="1835"/>
  </conditionalFormatting>
  <conditionalFormatting sqref="A1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36" t="s">
        <v>1478</v>
      </c>
      <c r="B2" s="139" t="s">
        <v>1448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8" si="0">IF(A2="","",A2)</f>
        <v>1001+1002+1003</v>
      </c>
      <c r="H2" t="str">
        <f t="shared" ref="H2:H38" si="1">_xlfn.CONCAT(D2,SUBSTITUTE(B2,"""","`"""),E2)</f>
        <v>`CAN GET A LOAN VIA GLOAN NET&lt;Q&gt;</v>
      </c>
      <c r="I2" t="s">
        <v>518</v>
      </c>
      <c r="J2" t="str">
        <f t="shared" ref="J2:J38" si="2">_xlfn.CONCAT(I2,H2)</f>
        <v>&lt;G1B&gt;`CAN GET A LOAN VIA GLOAN NET&lt;Q&gt;</v>
      </c>
    </row>
    <row r="3" spans="1:10" x14ac:dyDescent="0.25">
      <c r="A3" s="136">
        <v>1001</v>
      </c>
      <c r="B3" s="137" t="s">
        <v>1449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get a loan via GLOAN</v>
      </c>
      <c r="I3" t="s">
        <v>520</v>
      </c>
      <c r="J3" t="str">
        <f t="shared" si="2"/>
        <v>&lt;G2B&gt;&lt;G1P&gt;`     Can get a loan via GLOAN</v>
      </c>
    </row>
    <row r="4" spans="1:10" x14ac:dyDescent="0.25">
      <c r="A4" s="136">
        <v>1002</v>
      </c>
      <c r="B4" s="137" t="s">
        <v>977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GLoan</v>
      </c>
      <c r="I4" t="s">
        <v>522</v>
      </c>
      <c r="J4" t="str">
        <f t="shared" si="2"/>
        <v>&lt;G1P&gt;`     GLoan</v>
      </c>
    </row>
    <row r="5" spans="1:10" x14ac:dyDescent="0.25">
      <c r="A5" s="136">
        <v>1003</v>
      </c>
      <c r="B5" s="137" t="s">
        <v>1450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Encourage people to use GLoan</v>
      </c>
      <c r="I5" t="s">
        <v>521</v>
      </c>
      <c r="J5" t="str">
        <f t="shared" si="2"/>
        <v>&lt;G2E&gt;&lt;G1P&gt;`     Encourage people to use GLoan</v>
      </c>
    </row>
    <row r="6" spans="1:10" x14ac:dyDescent="0.25">
      <c r="A6" s="136">
        <v>1004</v>
      </c>
      <c r="B6" s="139" t="s">
        <v>1451</v>
      </c>
      <c r="C6" t="s">
        <v>6</v>
      </c>
      <c r="D6" t="s">
        <v>323</v>
      </c>
      <c r="E6" t="s">
        <v>322</v>
      </c>
      <c r="F6" t="s">
        <v>327</v>
      </c>
      <c r="G6">
        <f t="shared" si="0"/>
        <v>1004</v>
      </c>
      <c r="H6" t="str">
        <f t="shared" si="1"/>
        <v>`CAN GET A LOAN  VIA GCREDIT NET&lt;Q&gt;</v>
      </c>
      <c r="J6" t="str">
        <f t="shared" si="2"/>
        <v>`CAN GET A LOAN  VIA GCREDIT NET&lt;Q&gt;</v>
      </c>
    </row>
    <row r="7" spans="1:10" x14ac:dyDescent="0.25">
      <c r="A7" s="136">
        <v>1004</v>
      </c>
      <c r="B7" s="137" t="s">
        <v>1452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Can get a loan via GCREDIT</v>
      </c>
      <c r="I7" t="s">
        <v>522</v>
      </c>
      <c r="J7" t="str">
        <f t="shared" si="2"/>
        <v>&lt;G1P&gt;`     Can get a loan via GCREDIT</v>
      </c>
    </row>
    <row r="8" spans="1:10" x14ac:dyDescent="0.25">
      <c r="A8" s="136" t="s">
        <v>1479</v>
      </c>
      <c r="B8" s="139" t="s">
        <v>1453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1005+1006</v>
      </c>
      <c r="H8" t="str">
        <f t="shared" si="1"/>
        <v>`CAN GET A LOAN VIA GCASH NET&lt;Q&gt;</v>
      </c>
      <c r="J8" t="str">
        <f t="shared" si="2"/>
        <v>`CAN GET A LOAN VIA GCASH NET&lt;Q&gt;</v>
      </c>
    </row>
    <row r="9" spans="1:10" x14ac:dyDescent="0.25">
      <c r="A9" s="136">
        <v>1005</v>
      </c>
      <c r="B9" s="137" t="s">
        <v>1454</v>
      </c>
      <c r="C9" t="s">
        <v>16</v>
      </c>
      <c r="D9" t="s">
        <v>318</v>
      </c>
      <c r="F9" t="s">
        <v>326</v>
      </c>
      <c r="G9">
        <f t="shared" si="0"/>
        <v>1005</v>
      </c>
      <c r="H9" t="str">
        <f t="shared" si="1"/>
        <v>`     Can get a loan via  GCash</v>
      </c>
      <c r="I9" t="s">
        <v>520</v>
      </c>
      <c r="J9" t="str">
        <f t="shared" si="2"/>
        <v>&lt;G2B&gt;&lt;G1P&gt;`     Can get a loan via  GCash</v>
      </c>
    </row>
    <row r="10" spans="1:10" x14ac:dyDescent="0.25">
      <c r="A10" s="136">
        <v>1006</v>
      </c>
      <c r="B10" s="137" t="s">
        <v>1455</v>
      </c>
      <c r="C10" t="s">
        <v>16</v>
      </c>
      <c r="D10" t="s">
        <v>318</v>
      </c>
      <c r="F10" t="s">
        <v>326</v>
      </c>
      <c r="G10">
        <f t="shared" si="0"/>
        <v>1006</v>
      </c>
      <c r="H10" t="str">
        <f t="shared" si="1"/>
        <v>`     Can get a loan via  GCash in times of emergency</v>
      </c>
      <c r="I10" t="s">
        <v>521</v>
      </c>
      <c r="J10" t="str">
        <f t="shared" si="2"/>
        <v>&lt;G2E&gt;&lt;G1P&gt;`     Can get a loan via  GCash in times of emergency</v>
      </c>
    </row>
    <row r="11" spans="1:10" x14ac:dyDescent="0.25">
      <c r="A11" s="136" t="s">
        <v>1480</v>
      </c>
      <c r="B11" s="139" t="s">
        <v>1456</v>
      </c>
      <c r="C11" t="s">
        <v>6</v>
      </c>
      <c r="D11" t="s">
        <v>323</v>
      </c>
      <c r="E11" t="s">
        <v>322</v>
      </c>
      <c r="F11" t="s">
        <v>327</v>
      </c>
      <c r="G11" t="str">
        <f t="shared" si="0"/>
        <v>1007+1008</v>
      </c>
      <c r="H11" t="str">
        <f t="shared" si="1"/>
        <v>`EASY TO GET A LOAN  FROM GCASH NET&lt;Q&gt;</v>
      </c>
      <c r="J11" t="str">
        <f t="shared" si="2"/>
        <v>`EASY TO GET A LOAN  FROM GCASH NET&lt;Q&gt;</v>
      </c>
    </row>
    <row r="12" spans="1:10" x14ac:dyDescent="0.25">
      <c r="A12" s="136">
        <v>1007</v>
      </c>
      <c r="B12" s="137" t="s">
        <v>1457</v>
      </c>
      <c r="C12" t="s">
        <v>16</v>
      </c>
      <c r="D12" t="s">
        <v>318</v>
      </c>
      <c r="F12" t="s">
        <v>326</v>
      </c>
      <c r="G12">
        <f t="shared" si="0"/>
        <v>1007</v>
      </c>
      <c r="H12" t="str">
        <f t="shared" si="1"/>
        <v>`     Easy to get a loan via GCash</v>
      </c>
      <c r="I12" t="s">
        <v>520</v>
      </c>
      <c r="J12" t="str">
        <f t="shared" si="2"/>
        <v>&lt;G2B&gt;&lt;G1P&gt;`     Easy to get a loan via GCash</v>
      </c>
    </row>
    <row r="13" spans="1:10" x14ac:dyDescent="0.25">
      <c r="A13" s="136">
        <v>1008</v>
      </c>
      <c r="B13" s="137" t="s">
        <v>1458</v>
      </c>
      <c r="C13" t="s">
        <v>16</v>
      </c>
      <c r="D13" t="s">
        <v>318</v>
      </c>
      <c r="F13" t="s">
        <v>326</v>
      </c>
      <c r="G13">
        <f t="shared" si="0"/>
        <v>1008</v>
      </c>
      <c r="H13" t="str">
        <f t="shared" si="1"/>
        <v>`     Easy to get a loan via GLoan</v>
      </c>
      <c r="I13" t="s">
        <v>521</v>
      </c>
      <c r="J13" t="str">
        <f t="shared" si="2"/>
        <v>&lt;G2E&gt;&lt;G1P&gt;`     Easy to get a loan via GLoan</v>
      </c>
    </row>
    <row r="14" spans="1:10" x14ac:dyDescent="0.25">
      <c r="A14" s="136">
        <v>1009</v>
      </c>
      <c r="B14" s="139" t="s">
        <v>1459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1009</v>
      </c>
      <c r="H14" t="str">
        <f t="shared" si="1"/>
        <v>`SAFETY AND SECURITY NET&lt;Q&gt;</v>
      </c>
      <c r="J14" t="str">
        <f t="shared" si="2"/>
        <v>`SAFETY AND SECURITY NET&lt;Q&gt;</v>
      </c>
    </row>
    <row r="15" spans="1:10" x14ac:dyDescent="0.25">
      <c r="A15" s="136">
        <v>1009</v>
      </c>
      <c r="B15" s="137" t="s">
        <v>1460</v>
      </c>
      <c r="C15" t="s">
        <v>16</v>
      </c>
      <c r="D15" t="s">
        <v>318</v>
      </c>
      <c r="F15" t="s">
        <v>326</v>
      </c>
      <c r="G15">
        <f t="shared" si="0"/>
        <v>1009</v>
      </c>
      <c r="H15" t="str">
        <f t="shared" si="1"/>
        <v>`     GCash is safe to use</v>
      </c>
      <c r="I15" t="s">
        <v>522</v>
      </c>
      <c r="J15" t="str">
        <f t="shared" si="2"/>
        <v>&lt;G1P&gt;`     GCash is safe to use</v>
      </c>
    </row>
    <row r="16" spans="1:10" x14ac:dyDescent="0.25">
      <c r="A16" s="136">
        <v>1010</v>
      </c>
      <c r="B16" s="139" t="s">
        <v>1461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1010</v>
      </c>
      <c r="H16" t="str">
        <f t="shared" si="1"/>
        <v>`EASE OF USE NET&lt;Q&gt;</v>
      </c>
      <c r="J16" t="str">
        <f t="shared" si="2"/>
        <v>`EASE OF USE NET&lt;Q&gt;</v>
      </c>
    </row>
    <row r="17" spans="1:10" x14ac:dyDescent="0.25">
      <c r="A17" s="136">
        <v>1010</v>
      </c>
      <c r="B17" s="137" t="s">
        <v>1462</v>
      </c>
      <c r="C17" t="s">
        <v>16</v>
      </c>
      <c r="D17" t="s">
        <v>318</v>
      </c>
      <c r="F17" t="s">
        <v>326</v>
      </c>
      <c r="G17">
        <f t="shared" si="0"/>
        <v>1010</v>
      </c>
      <c r="H17" t="str">
        <f t="shared" si="1"/>
        <v>`     GCash is easy to use</v>
      </c>
      <c r="I17" t="s">
        <v>522</v>
      </c>
      <c r="J17" t="str">
        <f t="shared" si="2"/>
        <v>&lt;G1P&gt;`     GCash is easy to use</v>
      </c>
    </row>
    <row r="18" spans="1:10" x14ac:dyDescent="0.25">
      <c r="A18" s="136" t="s">
        <v>1481</v>
      </c>
      <c r="B18" s="138" t="s">
        <v>1463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1011+1012</v>
      </c>
      <c r="H18" t="str">
        <f t="shared" si="1"/>
        <v>`BARANGAY GCASH NET&lt;Q&gt;</v>
      </c>
      <c r="J18" t="str">
        <f t="shared" si="2"/>
        <v>`BARANGAY GCASH NET&lt;Q&gt;</v>
      </c>
    </row>
    <row r="19" spans="1:10" x14ac:dyDescent="0.25">
      <c r="A19" s="136">
        <v>1011</v>
      </c>
      <c r="B19" s="137" t="s">
        <v>1464</v>
      </c>
      <c r="C19" t="s">
        <v>16</v>
      </c>
      <c r="D19" t="s">
        <v>318</v>
      </c>
      <c r="F19" t="s">
        <v>326</v>
      </c>
      <c r="G19">
        <f t="shared" si="0"/>
        <v>1011</v>
      </c>
      <c r="H19" t="str">
        <f t="shared" si="1"/>
        <v>`     They go to different barangays and give price using GCash</v>
      </c>
      <c r="I19" t="s">
        <v>520</v>
      </c>
      <c r="J19" t="str">
        <f t="shared" si="2"/>
        <v>&lt;G2B&gt;&lt;G1P&gt;`     They go to different barangays and give price using GCash</v>
      </c>
    </row>
    <row r="20" spans="1:10" x14ac:dyDescent="0.25">
      <c r="A20" s="136">
        <v>1012</v>
      </c>
      <c r="B20" s="137" t="s">
        <v>1465</v>
      </c>
      <c r="C20" t="s">
        <v>16</v>
      </c>
      <c r="D20" t="s">
        <v>318</v>
      </c>
      <c r="F20" t="s">
        <v>326</v>
      </c>
      <c r="G20">
        <f t="shared" si="0"/>
        <v>1012</v>
      </c>
      <c r="H20" t="str">
        <f t="shared" si="1"/>
        <v>`     Baranggay GCash</v>
      </c>
      <c r="I20" t="s">
        <v>521</v>
      </c>
      <c r="J20" t="str">
        <f t="shared" si="2"/>
        <v>&lt;G2E&gt;&lt;G1P&gt;`     Baranggay GCash</v>
      </c>
    </row>
    <row r="21" spans="1:10" x14ac:dyDescent="0.25">
      <c r="A21" s="136" t="s">
        <v>1482</v>
      </c>
      <c r="B21" s="139" t="s">
        <v>1466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1013+1014+1015+1016+1017</v>
      </c>
      <c r="H21" t="str">
        <f t="shared" si="1"/>
        <v>`BUY LOAD NET&lt;Q&gt;</v>
      </c>
      <c r="J21" t="str">
        <f t="shared" si="2"/>
        <v>`BUY LOAD NET&lt;Q&gt;</v>
      </c>
    </row>
    <row r="22" spans="1:10" x14ac:dyDescent="0.25">
      <c r="A22" s="136">
        <v>1013</v>
      </c>
      <c r="B22" s="137" t="s">
        <v>1467</v>
      </c>
      <c r="C22" t="s">
        <v>16</v>
      </c>
      <c r="D22" t="s">
        <v>318</v>
      </c>
      <c r="F22" t="s">
        <v>326</v>
      </c>
      <c r="G22">
        <f t="shared" si="0"/>
        <v>1013</v>
      </c>
      <c r="H22" t="str">
        <f t="shared" si="1"/>
        <v xml:space="preserve">`     Can buy load using Gcash </v>
      </c>
      <c r="I22" t="s">
        <v>520</v>
      </c>
      <c r="J22" t="str">
        <f t="shared" si="2"/>
        <v xml:space="preserve">&lt;G2B&gt;&lt;G1P&gt;`     Can buy load using Gcash </v>
      </c>
    </row>
    <row r="23" spans="1:10" x14ac:dyDescent="0.25">
      <c r="A23" s="136">
        <v>1014</v>
      </c>
      <c r="B23" s="137" t="s">
        <v>1468</v>
      </c>
      <c r="C23" t="s">
        <v>16</v>
      </c>
      <c r="D23" t="s">
        <v>318</v>
      </c>
      <c r="F23" t="s">
        <v>326</v>
      </c>
      <c r="G23">
        <f t="shared" si="0"/>
        <v>1014</v>
      </c>
      <c r="H23" t="str">
        <f t="shared" si="1"/>
        <v>`     Can buy load  via GCash anytime and anywhere</v>
      </c>
      <c r="I23" t="s">
        <v>522</v>
      </c>
      <c r="J23" t="str">
        <f t="shared" si="2"/>
        <v>&lt;G1P&gt;`     Can buy load  via GCash anytime and anywhere</v>
      </c>
    </row>
    <row r="24" spans="1:10" x14ac:dyDescent="0.25">
      <c r="A24" s="136">
        <v>1015</v>
      </c>
      <c r="B24" s="137" t="s">
        <v>1469</v>
      </c>
      <c r="C24" t="s">
        <v>16</v>
      </c>
      <c r="D24" t="s">
        <v>318</v>
      </c>
      <c r="F24" t="s">
        <v>326</v>
      </c>
      <c r="G24">
        <f t="shared" si="0"/>
        <v>1015</v>
      </c>
      <c r="H24" t="str">
        <f t="shared" si="1"/>
        <v>`     Can buy load  via GCash for all networks</v>
      </c>
      <c r="I24" t="s">
        <v>522</v>
      </c>
      <c r="J24" t="str">
        <f t="shared" si="2"/>
        <v>&lt;G1P&gt;`     Can buy load  via GCash for all networks</v>
      </c>
    </row>
    <row r="25" spans="1:10" x14ac:dyDescent="0.25">
      <c r="A25" s="136">
        <v>1016</v>
      </c>
      <c r="B25" s="137" t="s">
        <v>1470</v>
      </c>
      <c r="C25" t="s">
        <v>16</v>
      </c>
      <c r="D25" t="s">
        <v>318</v>
      </c>
      <c r="F25" t="s">
        <v>326</v>
      </c>
      <c r="G25">
        <f t="shared" si="0"/>
        <v>1016</v>
      </c>
      <c r="H25" t="str">
        <f t="shared" si="1"/>
        <v>`     Quick to buy load via GCash</v>
      </c>
      <c r="I25" t="s">
        <v>522</v>
      </c>
      <c r="J25" t="str">
        <f t="shared" si="2"/>
        <v>&lt;G1P&gt;`     Quick to buy load via GCash</v>
      </c>
    </row>
    <row r="26" spans="1:10" x14ac:dyDescent="0.25">
      <c r="A26" s="136">
        <v>1017</v>
      </c>
      <c r="B26" s="137" t="s">
        <v>1471</v>
      </c>
      <c r="C26" t="s">
        <v>16</v>
      </c>
      <c r="D26" t="s">
        <v>318</v>
      </c>
      <c r="F26" t="s">
        <v>326</v>
      </c>
      <c r="G26">
        <f t="shared" si="0"/>
        <v>1017</v>
      </c>
      <c r="H26" t="str">
        <f t="shared" si="1"/>
        <v>`     Easy to load via GCash</v>
      </c>
      <c r="I26" t="s">
        <v>521</v>
      </c>
      <c r="J26" t="str">
        <f t="shared" si="2"/>
        <v>&lt;G2E&gt;&lt;G1P&gt;`     Easy to load via GCash</v>
      </c>
    </row>
    <row r="27" spans="1:10" x14ac:dyDescent="0.25">
      <c r="A27" s="136" t="s">
        <v>1483</v>
      </c>
      <c r="B27" s="139" t="s">
        <v>1472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1018+1019</v>
      </c>
      <c r="H27" t="str">
        <f t="shared" si="1"/>
        <v>`ABOUT GCASH NET&lt;Q&gt;</v>
      </c>
      <c r="J27" t="str">
        <f t="shared" si="2"/>
        <v>`ABOUT GCASH NET&lt;Q&gt;</v>
      </c>
    </row>
    <row r="28" spans="1:10" x14ac:dyDescent="0.25">
      <c r="A28" s="136">
        <v>1018</v>
      </c>
      <c r="B28" s="137" t="s">
        <v>1157</v>
      </c>
      <c r="C28" t="s">
        <v>16</v>
      </c>
      <c r="D28" t="s">
        <v>318</v>
      </c>
      <c r="F28" t="s">
        <v>326</v>
      </c>
      <c r="G28">
        <f t="shared" si="0"/>
        <v>1018</v>
      </c>
      <c r="H28" t="str">
        <f t="shared" si="1"/>
        <v>`     GCash is important</v>
      </c>
      <c r="I28" t="s">
        <v>520</v>
      </c>
      <c r="J28" t="str">
        <f t="shared" si="2"/>
        <v>&lt;G2B&gt;&lt;G1P&gt;`     GCash is important</v>
      </c>
    </row>
    <row r="29" spans="1:10" x14ac:dyDescent="0.25">
      <c r="A29" s="136">
        <v>1019</v>
      </c>
      <c r="B29" s="137" t="s">
        <v>641</v>
      </c>
      <c r="C29" t="s">
        <v>16</v>
      </c>
      <c r="D29" t="s">
        <v>318</v>
      </c>
      <c r="F29" t="s">
        <v>326</v>
      </c>
      <c r="G29">
        <f t="shared" si="0"/>
        <v>1019</v>
      </c>
      <c r="H29" t="str">
        <f t="shared" si="1"/>
        <v>`     GCash</v>
      </c>
      <c r="I29" t="s">
        <v>521</v>
      </c>
      <c r="J29" t="str">
        <f t="shared" si="2"/>
        <v>&lt;G2E&gt;&lt;G1P&gt;`     GCash</v>
      </c>
    </row>
    <row r="30" spans="1:10" x14ac:dyDescent="0.25">
      <c r="A30" s="136" t="s">
        <v>174</v>
      </c>
      <c r="B30" s="139" t="s">
        <v>1473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1020+1021</v>
      </c>
      <c r="H30" t="str">
        <f t="shared" si="1"/>
        <v>`CONVENIENCE NET&lt;Q&gt;</v>
      </c>
      <c r="J30" t="str">
        <f t="shared" si="2"/>
        <v>`CONVENIENCE NET&lt;Q&gt;</v>
      </c>
    </row>
    <row r="31" spans="1:10" x14ac:dyDescent="0.25">
      <c r="A31" s="136">
        <v>1020</v>
      </c>
      <c r="B31" s="137" t="s">
        <v>732</v>
      </c>
      <c r="C31" t="s">
        <v>16</v>
      </c>
      <c r="D31" t="s">
        <v>318</v>
      </c>
      <c r="F31" t="s">
        <v>326</v>
      </c>
      <c r="G31">
        <f t="shared" si="0"/>
        <v>1020</v>
      </c>
      <c r="H31" t="str">
        <f t="shared" si="1"/>
        <v>`     GCash is convenient to use</v>
      </c>
      <c r="I31" t="s">
        <v>520</v>
      </c>
      <c r="J31" t="str">
        <f t="shared" si="2"/>
        <v>&lt;G2B&gt;&lt;G1P&gt;`     GCash is convenient to use</v>
      </c>
    </row>
    <row r="32" spans="1:10" x14ac:dyDescent="0.25">
      <c r="A32" s="136">
        <v>1021</v>
      </c>
      <c r="B32" s="137" t="s">
        <v>1474</v>
      </c>
      <c r="C32" t="s">
        <v>16</v>
      </c>
      <c r="D32" t="s">
        <v>318</v>
      </c>
      <c r="F32" t="s">
        <v>326</v>
      </c>
      <c r="G32">
        <f t="shared" si="0"/>
        <v>1021</v>
      </c>
      <c r="H32" t="str">
        <f t="shared" si="1"/>
        <v>`     Less hassle</v>
      </c>
      <c r="I32" t="s">
        <v>521</v>
      </c>
      <c r="J32" t="str">
        <f t="shared" si="2"/>
        <v>&lt;G2E&gt;&lt;G1P&gt;`     Less hassle</v>
      </c>
    </row>
    <row r="33" spans="1:10" x14ac:dyDescent="0.25">
      <c r="A33" s="136">
        <v>1022</v>
      </c>
      <c r="B33" s="139" t="s">
        <v>1475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1022</v>
      </c>
      <c r="H33" t="str">
        <f t="shared" si="1"/>
        <v>`ABOUT LOANS NET&lt;Q&gt;</v>
      </c>
      <c r="J33" t="str">
        <f t="shared" si="2"/>
        <v>`ABOUT LOANS NET&lt;Q&gt;</v>
      </c>
    </row>
    <row r="34" spans="1:10" x14ac:dyDescent="0.25">
      <c r="A34" s="136">
        <v>1022</v>
      </c>
      <c r="B34" s="137" t="s">
        <v>1476</v>
      </c>
      <c r="C34" t="s">
        <v>16</v>
      </c>
      <c r="D34" t="s">
        <v>318</v>
      </c>
      <c r="F34" t="s">
        <v>326</v>
      </c>
      <c r="G34">
        <f t="shared" si="0"/>
        <v>1022</v>
      </c>
      <c r="H34" t="str">
        <f t="shared" si="1"/>
        <v>`     Giving out loans</v>
      </c>
      <c r="I34" t="s">
        <v>522</v>
      </c>
      <c r="J34" t="str">
        <f t="shared" si="2"/>
        <v>&lt;G1P&gt;`     Giving out loans</v>
      </c>
    </row>
    <row r="35" spans="1:10" x14ac:dyDescent="0.25">
      <c r="A35" s="136">
        <v>1023</v>
      </c>
      <c r="B35" s="139" t="s">
        <v>1477</v>
      </c>
      <c r="C35" t="s">
        <v>6</v>
      </c>
      <c r="D35" t="s">
        <v>323</v>
      </c>
      <c r="E35" t="s">
        <v>322</v>
      </c>
      <c r="F35" t="s">
        <v>327</v>
      </c>
      <c r="G35">
        <f t="shared" si="0"/>
        <v>1023</v>
      </c>
      <c r="H35" t="str">
        <f t="shared" si="1"/>
        <v>`ADVERTISING GCASH NET&lt;Q&gt;</v>
      </c>
      <c r="I35" t="s">
        <v>519</v>
      </c>
      <c r="J35" t="str">
        <f t="shared" si="2"/>
        <v>&lt;G1E&gt;`ADVERTISING GCASH NET&lt;Q&gt;</v>
      </c>
    </row>
    <row r="36" spans="1:10" x14ac:dyDescent="0.25">
      <c r="A36" s="136">
        <v>1023</v>
      </c>
      <c r="B36" s="137" t="s">
        <v>913</v>
      </c>
      <c r="C36" t="s">
        <v>16</v>
      </c>
      <c r="D36" t="s">
        <v>318</v>
      </c>
      <c r="F36" t="s">
        <v>326</v>
      </c>
      <c r="G36">
        <f t="shared" si="0"/>
        <v>1023</v>
      </c>
      <c r="H36" t="str">
        <f t="shared" si="1"/>
        <v>`     Encouraging people to use GCash</v>
      </c>
      <c r="J36" t="str">
        <f t="shared" si="2"/>
        <v>`     Encouraging people to use GCash</v>
      </c>
    </row>
    <row r="37" spans="1:10" x14ac:dyDescent="0.25">
      <c r="A37" s="136">
        <v>9997</v>
      </c>
      <c r="B37" s="140" t="s">
        <v>796</v>
      </c>
      <c r="G37">
        <f t="shared" si="0"/>
        <v>9997</v>
      </c>
      <c r="H37" t="str">
        <f t="shared" si="1"/>
        <v>No comment</v>
      </c>
      <c r="J37" t="str">
        <f t="shared" si="2"/>
        <v>No comment</v>
      </c>
    </row>
    <row r="38" spans="1:10" x14ac:dyDescent="0.25">
      <c r="A38" s="136">
        <v>9999</v>
      </c>
      <c r="B38" s="137" t="s">
        <v>303</v>
      </c>
      <c r="G38">
        <f t="shared" si="0"/>
        <v>9999</v>
      </c>
      <c r="H38" t="str">
        <f t="shared" si="1"/>
        <v>None</v>
      </c>
      <c r="J38" t="str">
        <f t="shared" si="2"/>
        <v>None</v>
      </c>
    </row>
    <row r="39" spans="1:10" x14ac:dyDescent="0.25">
      <c r="A39" s="136"/>
      <c r="B39" s="137"/>
    </row>
    <row r="40" spans="1:10" x14ac:dyDescent="0.25">
      <c r="A40" s="136"/>
      <c r="B40" s="137"/>
    </row>
    <row r="41" spans="1:10" x14ac:dyDescent="0.25">
      <c r="A41" s="136"/>
      <c r="B41" s="137"/>
    </row>
    <row r="42" spans="1:10" x14ac:dyDescent="0.25">
      <c r="A42" s="136"/>
      <c r="B42" s="137"/>
    </row>
    <row r="43" spans="1:10" x14ac:dyDescent="0.25">
      <c r="A43" s="136"/>
      <c r="B43" s="137"/>
    </row>
    <row r="44" spans="1:10" x14ac:dyDescent="0.25">
      <c r="A44" s="136"/>
      <c r="B44" s="137"/>
    </row>
    <row r="45" spans="1:10" x14ac:dyDescent="0.25">
      <c r="A45" s="136"/>
      <c r="B45" s="137"/>
    </row>
    <row r="46" spans="1:10" x14ac:dyDescent="0.25">
      <c r="A46" s="136"/>
      <c r="B46" s="137"/>
    </row>
    <row r="47" spans="1:10" x14ac:dyDescent="0.25">
      <c r="A47" s="136"/>
      <c r="B47" s="137"/>
    </row>
    <row r="48" spans="1:10" x14ac:dyDescent="0.25">
      <c r="A48" s="136"/>
      <c r="B48" s="137"/>
    </row>
    <row r="49" spans="1:2" x14ac:dyDescent="0.25">
      <c r="A49" s="136"/>
      <c r="B49" s="137"/>
    </row>
    <row r="50" spans="1:2" x14ac:dyDescent="0.25">
      <c r="A50" s="136"/>
      <c r="B50" s="137"/>
    </row>
    <row r="51" spans="1:2" x14ac:dyDescent="0.25">
      <c r="A51" s="136"/>
      <c r="B51" s="137"/>
    </row>
    <row r="52" spans="1:2" x14ac:dyDescent="0.25">
      <c r="A52" s="136"/>
      <c r="B52" s="137"/>
    </row>
    <row r="53" spans="1:2" x14ac:dyDescent="0.25">
      <c r="A53" s="136"/>
      <c r="B53" s="137"/>
    </row>
    <row r="54" spans="1:2" x14ac:dyDescent="0.25">
      <c r="A54" s="136"/>
      <c r="B54" s="137"/>
    </row>
    <row r="55" spans="1:2" x14ac:dyDescent="0.25">
      <c r="A55" s="136"/>
      <c r="B55" s="137"/>
    </row>
    <row r="56" spans="1:2" x14ac:dyDescent="0.25">
      <c r="A56" s="136"/>
      <c r="B56" s="137"/>
    </row>
    <row r="57" spans="1:2" x14ac:dyDescent="0.25">
      <c r="A57" s="136"/>
      <c r="B57" s="137"/>
    </row>
    <row r="58" spans="1:2" x14ac:dyDescent="0.25">
      <c r="A58" s="136"/>
      <c r="B58" s="137"/>
    </row>
    <row r="59" spans="1:2" x14ac:dyDescent="0.25">
      <c r="A59" s="136"/>
      <c r="B59" s="137"/>
    </row>
    <row r="60" spans="1:2" x14ac:dyDescent="0.25">
      <c r="A60" s="136"/>
      <c r="B60" s="137"/>
    </row>
    <row r="61" spans="1:2" x14ac:dyDescent="0.25">
      <c r="A61" s="136"/>
      <c r="B61" s="137"/>
    </row>
    <row r="62" spans="1:2" x14ac:dyDescent="0.25">
      <c r="A62" s="136"/>
      <c r="B62" s="137"/>
    </row>
    <row r="63" spans="1:2" x14ac:dyDescent="0.25">
      <c r="A63" s="136"/>
      <c r="B63" s="137"/>
    </row>
    <row r="64" spans="1:2" x14ac:dyDescent="0.25">
      <c r="A64" s="136"/>
      <c r="B64" s="137"/>
    </row>
    <row r="65" spans="1:2" x14ac:dyDescent="0.25">
      <c r="A65" s="136"/>
      <c r="B65" s="137"/>
    </row>
    <row r="66" spans="1:2" x14ac:dyDescent="0.25">
      <c r="A66" s="136"/>
      <c r="B66" s="137"/>
    </row>
    <row r="67" spans="1:2" x14ac:dyDescent="0.25">
      <c r="A67" s="136"/>
      <c r="B67" s="137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workbookViewId="0">
      <selection activeCell="F1" sqref="F1"/>
    </sheetView>
  </sheetViews>
  <sheetFormatPr defaultRowHeight="15" x14ac:dyDescent="0.25"/>
  <cols>
    <col min="2" max="2" width="62.85546875" customWidth="1"/>
  </cols>
  <sheetData>
    <row r="1" spans="1:10" x14ac:dyDescent="0.25">
      <c r="A1" s="141" t="s">
        <v>533</v>
      </c>
      <c r="B1" s="14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4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3">
        <v>2000</v>
      </c>
      <c r="B3" s="143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3" t="s">
        <v>653</v>
      </c>
      <c r="B4" s="143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3">
        <v>2002</v>
      </c>
      <c r="B5" s="143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3">
        <v>2003</v>
      </c>
      <c r="B6" s="143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144">
        <v>2061</v>
      </c>
      <c r="B7" s="145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144">
        <v>2063</v>
      </c>
      <c r="B8" s="145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144">
        <v>2081</v>
      </c>
      <c r="B9" s="145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144">
        <v>2082</v>
      </c>
      <c r="B10" s="145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144">
        <v>2084</v>
      </c>
      <c r="B11" s="145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144">
        <v>2056</v>
      </c>
      <c r="B12" s="145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144">
        <v>2104</v>
      </c>
      <c r="B13" s="145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3" t="s">
        <v>799</v>
      </c>
      <c r="B14" s="14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3">
        <v>2004</v>
      </c>
      <c r="B15" s="143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144">
        <v>2096</v>
      </c>
      <c r="B16" s="145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146" t="s">
        <v>800</v>
      </c>
      <c r="B17" s="14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146" t="s">
        <v>668</v>
      </c>
      <c r="B18" s="143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147">
        <v>2107</v>
      </c>
      <c r="B19" s="145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147">
        <v>2108</v>
      </c>
      <c r="B20" s="145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146" t="s">
        <v>1485</v>
      </c>
      <c r="B21" s="14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2013+2015+2016+2018+2019+2052+2055+2076+2078+2087+2088+2132+2139+2144+2145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146">
        <v>2013</v>
      </c>
      <c r="B22" s="143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146">
        <v>2015</v>
      </c>
      <c r="B23" s="143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146">
        <v>2016</v>
      </c>
      <c r="B24" s="143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146">
        <v>2018</v>
      </c>
      <c r="B25" s="143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3">
        <v>2019</v>
      </c>
      <c r="B26" s="143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144">
        <v>2052</v>
      </c>
      <c r="B27" s="145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144">
        <v>2055</v>
      </c>
      <c r="B28" s="145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144">
        <v>2076</v>
      </c>
      <c r="B29" s="145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144">
        <v>2078</v>
      </c>
      <c r="B30" s="145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144">
        <v>2087</v>
      </c>
      <c r="B31" s="145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144">
        <v>2088</v>
      </c>
      <c r="B32" s="145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144">
        <v>2132</v>
      </c>
      <c r="B33" s="145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148">
        <v>2139</v>
      </c>
      <c r="B34" s="149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148">
        <v>2144</v>
      </c>
      <c r="B35" s="149" t="s">
        <v>781</v>
      </c>
      <c r="C35" t="s">
        <v>16</v>
      </c>
      <c r="D35" t="s">
        <v>318</v>
      </c>
      <c r="F35" t="s">
        <v>326</v>
      </c>
      <c r="G35">
        <f t="shared" si="3"/>
        <v>2144</v>
      </c>
      <c r="H35" t="str">
        <f t="shared" si="4"/>
        <v>`     You won't get hung up on watching anymore</v>
      </c>
      <c r="I35" t="s">
        <v>522</v>
      </c>
      <c r="J35" t="str">
        <f t="shared" si="5"/>
        <v>&lt;G1P&gt;`     You won't get hung up on watching anymore</v>
      </c>
    </row>
    <row r="36" spans="1:10" x14ac:dyDescent="0.25">
      <c r="A36" s="148">
        <v>2145</v>
      </c>
      <c r="B36" s="149" t="s">
        <v>782</v>
      </c>
      <c r="C36" t="s">
        <v>16</v>
      </c>
      <c r="D36" t="s">
        <v>318</v>
      </c>
      <c r="F36" t="s">
        <v>326</v>
      </c>
      <c r="G36">
        <f t="shared" si="3"/>
        <v>2145</v>
      </c>
      <c r="H36" t="str">
        <f t="shared" si="4"/>
        <v>`     So you won't run out of load</v>
      </c>
      <c r="I36" t="s">
        <v>521</v>
      </c>
      <c r="J36" t="str">
        <f t="shared" si="5"/>
        <v>&lt;G2E&gt;&lt;G1P&gt;`     So you won't run out of load</v>
      </c>
    </row>
    <row r="37" spans="1:10" ht="15.75" x14ac:dyDescent="0.25">
      <c r="A37" s="33" t="s">
        <v>802</v>
      </c>
      <c r="B37" s="142" t="s">
        <v>686</v>
      </c>
      <c r="C37" t="s">
        <v>6</v>
      </c>
      <c r="D37" t="s">
        <v>323</v>
      </c>
      <c r="E37" t="s">
        <v>322</v>
      </c>
      <c r="F37" t="s">
        <v>327</v>
      </c>
      <c r="G37" t="str">
        <f t="shared" si="3"/>
        <v>2020+2021+2022+2102+2103</v>
      </c>
      <c r="H37" t="str">
        <f t="shared" si="4"/>
        <v>`PLAYING ONLINE GAMES (NET)&lt;Q&gt;</v>
      </c>
      <c r="J37" t="str">
        <f t="shared" si="5"/>
        <v>`PLAYING ONLINE GAMES (NET)&lt;Q&gt;</v>
      </c>
    </row>
    <row r="38" spans="1:10" x14ac:dyDescent="0.25">
      <c r="A38" s="33">
        <v>2020</v>
      </c>
      <c r="B38" s="143" t="s">
        <v>687</v>
      </c>
      <c r="C38" t="s">
        <v>16</v>
      </c>
      <c r="D38" t="s">
        <v>318</v>
      </c>
      <c r="F38" t="s">
        <v>326</v>
      </c>
      <c r="G38">
        <f t="shared" si="3"/>
        <v>2020</v>
      </c>
      <c r="H38" t="str">
        <f t="shared" si="4"/>
        <v>`     Can play games using GCash load</v>
      </c>
      <c r="I38" t="s">
        <v>520</v>
      </c>
      <c r="J38" t="str">
        <f t="shared" si="5"/>
        <v>&lt;G2B&gt;&lt;G1P&gt;`     Can play games using GCash load</v>
      </c>
    </row>
    <row r="39" spans="1:10" x14ac:dyDescent="0.25">
      <c r="A39" s="33">
        <v>2021</v>
      </c>
      <c r="B39" s="143" t="s">
        <v>688</v>
      </c>
      <c r="C39" t="s">
        <v>16</v>
      </c>
      <c r="D39" t="s">
        <v>318</v>
      </c>
      <c r="F39" t="s">
        <v>326</v>
      </c>
      <c r="G39">
        <f t="shared" si="3"/>
        <v>2021</v>
      </c>
      <c r="H39" t="str">
        <f t="shared" si="4"/>
        <v>`     Games</v>
      </c>
      <c r="I39" t="s">
        <v>522</v>
      </c>
      <c r="J39" t="str">
        <f t="shared" si="5"/>
        <v>&lt;G1P&gt;`     Games</v>
      </c>
    </row>
    <row r="40" spans="1:10" x14ac:dyDescent="0.25">
      <c r="A40" s="33">
        <v>2022</v>
      </c>
      <c r="B40" s="143" t="s">
        <v>689</v>
      </c>
      <c r="C40" t="s">
        <v>16</v>
      </c>
      <c r="D40" t="s">
        <v>318</v>
      </c>
      <c r="F40" t="s">
        <v>326</v>
      </c>
      <c r="G40">
        <f t="shared" si="3"/>
        <v>2022</v>
      </c>
      <c r="H40" t="str">
        <f t="shared" si="4"/>
        <v>`     Can be used for gaming</v>
      </c>
      <c r="I40" t="s">
        <v>522</v>
      </c>
      <c r="J40" t="str">
        <f t="shared" si="5"/>
        <v>&lt;G1P&gt;`     Can be used for gaming</v>
      </c>
    </row>
    <row r="41" spans="1:10" x14ac:dyDescent="0.25">
      <c r="A41" s="144">
        <v>2102</v>
      </c>
      <c r="B41" s="145" t="s">
        <v>690</v>
      </c>
      <c r="C41" t="s">
        <v>16</v>
      </c>
      <c r="D41" t="s">
        <v>318</v>
      </c>
      <c r="F41" t="s">
        <v>326</v>
      </c>
      <c r="G41">
        <f t="shared" si="3"/>
        <v>2102</v>
      </c>
      <c r="H41" t="str">
        <f t="shared" si="4"/>
        <v>`     GCash load streaming</v>
      </c>
      <c r="I41" t="s">
        <v>522</v>
      </c>
      <c r="J41" t="str">
        <f t="shared" si="5"/>
        <v>&lt;G1P&gt;`     GCash load streaming</v>
      </c>
    </row>
    <row r="42" spans="1:10" x14ac:dyDescent="0.25">
      <c r="A42" s="144">
        <v>2103</v>
      </c>
      <c r="B42" s="145" t="s">
        <v>691</v>
      </c>
      <c r="C42" t="s">
        <v>16</v>
      </c>
      <c r="D42" t="s">
        <v>318</v>
      </c>
      <c r="F42" t="s">
        <v>326</v>
      </c>
      <c r="G42">
        <f t="shared" si="3"/>
        <v>2103</v>
      </c>
      <c r="H42" t="str">
        <f t="shared" si="4"/>
        <v>`     GCash load gaming</v>
      </c>
      <c r="I42" t="s">
        <v>521</v>
      </c>
      <c r="J42" t="str">
        <f t="shared" si="5"/>
        <v>&lt;G2E&gt;&lt;G1P&gt;`     GCash load gaming</v>
      </c>
    </row>
    <row r="43" spans="1:10" ht="15.75" x14ac:dyDescent="0.25">
      <c r="A43" s="33" t="s">
        <v>1486</v>
      </c>
      <c r="B43" s="142" t="s">
        <v>692</v>
      </c>
      <c r="C43" t="s">
        <v>6</v>
      </c>
      <c r="D43" t="s">
        <v>323</v>
      </c>
      <c r="E43" t="s">
        <v>322</v>
      </c>
      <c r="F43" t="s">
        <v>327</v>
      </c>
      <c r="G43" t="str">
        <f t="shared" si="3"/>
        <v>2023+2095+2142</v>
      </c>
      <c r="H43" t="str">
        <f t="shared" si="4"/>
        <v>`LOAD SERVICE FEE (NET)&lt;Q&gt;</v>
      </c>
      <c r="J43" t="str">
        <f t="shared" si="5"/>
        <v>`LOAD SERVICE FEE (NET)&lt;Q&gt;</v>
      </c>
    </row>
    <row r="44" spans="1:10" x14ac:dyDescent="0.25">
      <c r="A44" s="33">
        <v>2023</v>
      </c>
      <c r="B44" s="143" t="s">
        <v>693</v>
      </c>
      <c r="C44" t="s">
        <v>16</v>
      </c>
      <c r="D44" t="s">
        <v>318</v>
      </c>
      <c r="F44" t="s">
        <v>326</v>
      </c>
      <c r="G44">
        <f t="shared" si="3"/>
        <v>2023</v>
      </c>
      <c r="H44" t="str">
        <f t="shared" si="4"/>
        <v>`     Load via GCash because there is no fee</v>
      </c>
      <c r="I44" t="s">
        <v>520</v>
      </c>
      <c r="J44" t="str">
        <f t="shared" si="5"/>
        <v>&lt;G2B&gt;&lt;G1P&gt;`     Load via GCash because there is no fee</v>
      </c>
    </row>
    <row r="45" spans="1:10" x14ac:dyDescent="0.25">
      <c r="A45" s="144">
        <v>2095</v>
      </c>
      <c r="B45" s="145" t="s">
        <v>694</v>
      </c>
      <c r="C45" t="s">
        <v>16</v>
      </c>
      <c r="D45" t="s">
        <v>318</v>
      </c>
      <c r="F45" t="s">
        <v>326</v>
      </c>
      <c r="G45">
        <f t="shared" si="3"/>
        <v>2095</v>
      </c>
      <c r="H45" t="str">
        <f t="shared" si="4"/>
        <v>`     No high transaction fee</v>
      </c>
      <c r="I45" t="s">
        <v>522</v>
      </c>
      <c r="J45" t="str">
        <f t="shared" si="5"/>
        <v>&lt;G1P&gt;`     No high transaction fee</v>
      </c>
    </row>
    <row r="46" spans="1:10" x14ac:dyDescent="0.25">
      <c r="A46" s="148">
        <v>2142</v>
      </c>
      <c r="B46" s="149" t="s">
        <v>780</v>
      </c>
      <c r="C46" t="s">
        <v>16</v>
      </c>
      <c r="D46" t="s">
        <v>318</v>
      </c>
      <c r="F46" t="s">
        <v>326</v>
      </c>
      <c r="G46">
        <f t="shared" si="3"/>
        <v>2142</v>
      </c>
      <c r="H46" t="str">
        <f t="shared" si="4"/>
        <v>`     It's cheaper to buy load in GCash</v>
      </c>
      <c r="I46" t="s">
        <v>521</v>
      </c>
      <c r="J46" t="str">
        <f t="shared" si="5"/>
        <v>&lt;G2E&gt;&lt;G1P&gt;`     It's cheaper to buy load in GCash</v>
      </c>
    </row>
    <row r="47" spans="1:10" ht="15.75" x14ac:dyDescent="0.25">
      <c r="A47" s="33" t="s">
        <v>804</v>
      </c>
      <c r="B47" s="142" t="s">
        <v>695</v>
      </c>
      <c r="C47" t="s">
        <v>6</v>
      </c>
      <c r="D47" t="s">
        <v>323</v>
      </c>
      <c r="E47" t="s">
        <v>322</v>
      </c>
      <c r="F47" t="s">
        <v>327</v>
      </c>
      <c r="G47" t="str">
        <f t="shared" si="3"/>
        <v>2024+2025+2026+2027+2028+2044+2045+2046+2047+2049+2051+2060+2100+2101+2113+2120+2123+2124+2128+2129+2130</v>
      </c>
      <c r="H47" t="str">
        <f t="shared" si="4"/>
        <v>`BONDING OF FRIENDS/FAMILY  (NET)&lt;Q&gt;</v>
      </c>
      <c r="J47" t="str">
        <f t="shared" si="5"/>
        <v>`BONDING OF FRIENDS/FAMILY  (NET)&lt;Q&gt;</v>
      </c>
    </row>
    <row r="48" spans="1:10" x14ac:dyDescent="0.25">
      <c r="A48" s="33">
        <v>2024</v>
      </c>
      <c r="B48" s="143" t="s">
        <v>696</v>
      </c>
      <c r="C48" t="s">
        <v>16</v>
      </c>
      <c r="D48" t="s">
        <v>318</v>
      </c>
      <c r="F48" t="s">
        <v>326</v>
      </c>
      <c r="G48">
        <f t="shared" si="3"/>
        <v>2024</v>
      </c>
      <c r="H48" t="str">
        <f t="shared" si="4"/>
        <v>`     Group friends</v>
      </c>
      <c r="I48" t="s">
        <v>520</v>
      </c>
      <c r="J48" t="str">
        <f t="shared" si="5"/>
        <v>&lt;G2B&gt;&lt;G1P&gt;`     Group friends</v>
      </c>
    </row>
    <row r="49" spans="1:10" x14ac:dyDescent="0.25">
      <c r="A49" s="33">
        <v>2025</v>
      </c>
      <c r="B49" s="143" t="s">
        <v>697</v>
      </c>
      <c r="C49" t="s">
        <v>16</v>
      </c>
      <c r="D49" t="s">
        <v>318</v>
      </c>
      <c r="F49" t="s">
        <v>326</v>
      </c>
      <c r="G49">
        <f t="shared" si="3"/>
        <v>2025</v>
      </c>
      <c r="H49" t="str">
        <f t="shared" si="4"/>
        <v>`     A lot of people like it</v>
      </c>
      <c r="I49" t="s">
        <v>522</v>
      </c>
      <c r="J49" t="str">
        <f t="shared" si="5"/>
        <v>&lt;G1P&gt;`     A lot of people like it</v>
      </c>
    </row>
    <row r="50" spans="1:10" x14ac:dyDescent="0.25">
      <c r="A50" s="33">
        <v>2026</v>
      </c>
      <c r="B50" s="143" t="s">
        <v>698</v>
      </c>
      <c r="C50" t="s">
        <v>16</v>
      </c>
      <c r="D50" t="s">
        <v>318</v>
      </c>
      <c r="F50" t="s">
        <v>326</v>
      </c>
      <c r="G50">
        <f t="shared" si="3"/>
        <v>2026</v>
      </c>
      <c r="H50" t="str">
        <f t="shared" si="4"/>
        <v>`     Bonding of friends with GCash</v>
      </c>
      <c r="I50" t="s">
        <v>522</v>
      </c>
      <c r="J50" t="str">
        <f t="shared" si="5"/>
        <v>&lt;G1P&gt;`     Bonding of friends with GCash</v>
      </c>
    </row>
    <row r="51" spans="1:10" x14ac:dyDescent="0.25">
      <c r="A51" s="33">
        <v>2027</v>
      </c>
      <c r="B51" s="143" t="s">
        <v>699</v>
      </c>
      <c r="C51" t="s">
        <v>16</v>
      </c>
      <c r="D51" t="s">
        <v>318</v>
      </c>
      <c r="F51" t="s">
        <v>326</v>
      </c>
      <c r="G51">
        <f t="shared" si="3"/>
        <v>2027</v>
      </c>
      <c r="H51" t="str">
        <f t="shared" si="4"/>
        <v>`     Because of GCash there is happy bonding</v>
      </c>
      <c r="I51" t="s">
        <v>522</v>
      </c>
      <c r="J51" t="str">
        <f t="shared" si="5"/>
        <v>&lt;G1P&gt;`     Because of GCash there is happy bonding</v>
      </c>
    </row>
    <row r="52" spans="1:10" x14ac:dyDescent="0.25">
      <c r="A52" s="33">
        <v>2028</v>
      </c>
      <c r="B52" s="143" t="s">
        <v>700</v>
      </c>
      <c r="C52" t="s">
        <v>16</v>
      </c>
      <c r="D52" t="s">
        <v>318</v>
      </c>
      <c r="F52" t="s">
        <v>326</v>
      </c>
      <c r="G52">
        <f t="shared" si="3"/>
        <v>2028</v>
      </c>
      <c r="H52" t="str">
        <f t="shared" si="4"/>
        <v>`     They are happy with what they are doing</v>
      </c>
      <c r="I52" t="s">
        <v>522</v>
      </c>
      <c r="J52" t="str">
        <f t="shared" si="5"/>
        <v>&lt;G1P&gt;`     They are happy with what they are doing</v>
      </c>
    </row>
    <row r="53" spans="1:10" x14ac:dyDescent="0.25">
      <c r="A53" s="33">
        <v>2044</v>
      </c>
      <c r="B53" s="143" t="s">
        <v>701</v>
      </c>
      <c r="C53" t="s">
        <v>16</v>
      </c>
      <c r="D53" t="s">
        <v>318</v>
      </c>
      <c r="F53" t="s">
        <v>326</v>
      </c>
      <c r="G53">
        <f t="shared" si="3"/>
        <v>2044</v>
      </c>
      <c r="H53" t="str">
        <f t="shared" si="4"/>
        <v>`     Family is together and online games</v>
      </c>
      <c r="I53" t="s">
        <v>522</v>
      </c>
      <c r="J53" t="str">
        <f t="shared" si="5"/>
        <v>&lt;G1P&gt;`     Family is together and online games</v>
      </c>
    </row>
    <row r="54" spans="1:10" x14ac:dyDescent="0.25">
      <c r="A54" s="144">
        <v>2045</v>
      </c>
      <c r="B54" s="145" t="s">
        <v>702</v>
      </c>
      <c r="C54" t="s">
        <v>16</v>
      </c>
      <c r="D54" t="s">
        <v>318</v>
      </c>
      <c r="F54" t="s">
        <v>326</v>
      </c>
      <c r="G54">
        <f t="shared" si="3"/>
        <v>2045</v>
      </c>
      <c r="H54" t="str">
        <f t="shared" si="4"/>
        <v>`     Bonding</v>
      </c>
      <c r="I54" t="s">
        <v>522</v>
      </c>
      <c r="J54" t="str">
        <f t="shared" si="5"/>
        <v>&lt;G1P&gt;`     Bonding</v>
      </c>
    </row>
    <row r="55" spans="1:10" x14ac:dyDescent="0.25">
      <c r="A55" s="144">
        <v>2046</v>
      </c>
      <c r="B55" s="145" t="s">
        <v>703</v>
      </c>
      <c r="C55" t="s">
        <v>16</v>
      </c>
      <c r="D55" t="s">
        <v>318</v>
      </c>
      <c r="F55" t="s">
        <v>326</v>
      </c>
      <c r="G55">
        <f t="shared" si="3"/>
        <v>2046</v>
      </c>
      <c r="H55" t="str">
        <f t="shared" si="4"/>
        <v>`     Bonding with friends</v>
      </c>
      <c r="I55" t="s">
        <v>522</v>
      </c>
      <c r="J55" t="str">
        <f t="shared" si="5"/>
        <v>&lt;G1P&gt;`     Bonding with friends</v>
      </c>
    </row>
    <row r="56" spans="1:10" x14ac:dyDescent="0.25">
      <c r="A56" s="144">
        <v>2047</v>
      </c>
      <c r="B56" s="145" t="s">
        <v>704</v>
      </c>
      <c r="C56" t="s">
        <v>16</v>
      </c>
      <c r="D56" t="s">
        <v>318</v>
      </c>
      <c r="F56" t="s">
        <v>326</v>
      </c>
      <c r="G56">
        <f t="shared" si="3"/>
        <v>2047</v>
      </c>
      <c r="H56" t="str">
        <f t="shared" si="4"/>
        <v>`     Complete family</v>
      </c>
      <c r="I56" t="s">
        <v>522</v>
      </c>
      <c r="J56" t="str">
        <f t="shared" si="5"/>
        <v>&lt;G1P&gt;`     Complete family</v>
      </c>
    </row>
    <row r="57" spans="1:10" x14ac:dyDescent="0.25">
      <c r="A57" s="144">
        <v>2049</v>
      </c>
      <c r="B57" s="145" t="s">
        <v>705</v>
      </c>
      <c r="C57" t="s">
        <v>16</v>
      </c>
      <c r="D57" t="s">
        <v>318</v>
      </c>
      <c r="F57" t="s">
        <v>326</v>
      </c>
      <c r="G57">
        <f t="shared" si="3"/>
        <v>2049</v>
      </c>
      <c r="H57" t="str">
        <f t="shared" si="4"/>
        <v>`     Can connect family anywhere</v>
      </c>
      <c r="I57" t="s">
        <v>522</v>
      </c>
      <c r="J57" t="str">
        <f t="shared" si="5"/>
        <v>&lt;G1P&gt;`     Can connect family anywhere</v>
      </c>
    </row>
    <row r="58" spans="1:10" x14ac:dyDescent="0.25">
      <c r="A58" s="144">
        <v>2051</v>
      </c>
      <c r="B58" s="145" t="s">
        <v>706</v>
      </c>
      <c r="C58" t="s">
        <v>16</v>
      </c>
      <c r="D58" t="s">
        <v>318</v>
      </c>
      <c r="F58" t="s">
        <v>326</v>
      </c>
      <c r="G58">
        <f t="shared" si="3"/>
        <v>2051</v>
      </c>
      <c r="H58" t="str">
        <f t="shared" si="4"/>
        <v>`     Group hug</v>
      </c>
      <c r="I58" t="s">
        <v>522</v>
      </c>
      <c r="J58" t="str">
        <f t="shared" si="5"/>
        <v>&lt;G1P&gt;`     Group hug</v>
      </c>
    </row>
    <row r="59" spans="1:10" x14ac:dyDescent="0.25">
      <c r="A59" s="144">
        <v>2060</v>
      </c>
      <c r="B59" s="145" t="s">
        <v>707</v>
      </c>
      <c r="C59" t="s">
        <v>16</v>
      </c>
      <c r="D59" t="s">
        <v>318</v>
      </c>
      <c r="F59" t="s">
        <v>326</v>
      </c>
      <c r="G59">
        <f t="shared" si="3"/>
        <v>2060</v>
      </c>
      <c r="H59" t="str">
        <f t="shared" si="4"/>
        <v>`     Family can communicate using load form GCash</v>
      </c>
      <c r="I59" t="s">
        <v>522</v>
      </c>
      <c r="J59" t="str">
        <f t="shared" si="5"/>
        <v>&lt;G1P&gt;`     Family can communicate using load form GCash</v>
      </c>
    </row>
    <row r="60" spans="1:10" x14ac:dyDescent="0.25">
      <c r="A60" s="144">
        <v>2100</v>
      </c>
      <c r="B60" s="145" t="s">
        <v>708</v>
      </c>
      <c r="C60" t="s">
        <v>16</v>
      </c>
      <c r="D60" t="s">
        <v>318</v>
      </c>
      <c r="F60" t="s">
        <v>326</v>
      </c>
      <c r="G60">
        <f t="shared" si="3"/>
        <v>2100</v>
      </c>
      <c r="H60" t="str">
        <f t="shared" si="4"/>
        <v>`     Group of friends on a vehicle receiving GCash</v>
      </c>
      <c r="I60" t="s">
        <v>522</v>
      </c>
      <c r="J60" t="str">
        <f t="shared" si="5"/>
        <v>&lt;G1P&gt;`     Group of friends on a vehicle receiving GCash</v>
      </c>
    </row>
    <row r="61" spans="1:10" x14ac:dyDescent="0.25">
      <c r="A61" s="144">
        <v>2101</v>
      </c>
      <c r="B61" s="145" t="s">
        <v>709</v>
      </c>
      <c r="C61" t="s">
        <v>16</v>
      </c>
      <c r="D61" t="s">
        <v>318</v>
      </c>
      <c r="F61" t="s">
        <v>326</v>
      </c>
      <c r="G61">
        <f t="shared" si="3"/>
        <v>2101</v>
      </c>
      <c r="H61" t="str">
        <f t="shared" si="4"/>
        <v>`     Friends sharing load thru GCash</v>
      </c>
      <c r="I61" t="s">
        <v>522</v>
      </c>
      <c r="J61" t="str">
        <f t="shared" si="5"/>
        <v>&lt;G1P&gt;`     Friends sharing load thru GCash</v>
      </c>
    </row>
    <row r="62" spans="1:10" x14ac:dyDescent="0.25">
      <c r="A62" s="144">
        <v>2113</v>
      </c>
      <c r="B62" s="145" t="s">
        <v>710</v>
      </c>
      <c r="C62" t="s">
        <v>16</v>
      </c>
      <c r="D62" t="s">
        <v>318</v>
      </c>
      <c r="F62" t="s">
        <v>326</v>
      </c>
      <c r="G62">
        <f t="shared" si="3"/>
        <v>2113</v>
      </c>
      <c r="H62" t="str">
        <f t="shared" si="4"/>
        <v>`     Having a good relationship</v>
      </c>
      <c r="I62" t="s">
        <v>522</v>
      </c>
      <c r="J62" t="str">
        <f t="shared" si="5"/>
        <v>&lt;G1P&gt;`     Having a good relationship</v>
      </c>
    </row>
    <row r="63" spans="1:10" x14ac:dyDescent="0.25">
      <c r="A63" s="144">
        <v>2120</v>
      </c>
      <c r="B63" s="145" t="s">
        <v>711</v>
      </c>
      <c r="C63" t="s">
        <v>16</v>
      </c>
      <c r="D63" t="s">
        <v>318</v>
      </c>
      <c r="F63" t="s">
        <v>326</v>
      </c>
      <c r="G63">
        <f t="shared" si="3"/>
        <v>2120</v>
      </c>
      <c r="H63" t="str">
        <f t="shared" si="4"/>
        <v>`     Enjoying</v>
      </c>
      <c r="I63" t="s">
        <v>522</v>
      </c>
      <c r="J63" t="str">
        <f t="shared" si="5"/>
        <v>&lt;G1P&gt;`     Enjoying</v>
      </c>
    </row>
    <row r="64" spans="1:10" x14ac:dyDescent="0.25">
      <c r="A64" s="144">
        <v>2123</v>
      </c>
      <c r="B64" s="145" t="s">
        <v>712</v>
      </c>
      <c r="C64" t="s">
        <v>16</v>
      </c>
      <c r="D64" t="s">
        <v>318</v>
      </c>
      <c r="F64" t="s">
        <v>326</v>
      </c>
      <c r="G64">
        <f t="shared" si="3"/>
        <v>2123</v>
      </c>
      <c r="H64" t="str">
        <f t="shared" si="4"/>
        <v>`     Group of friends in online</v>
      </c>
      <c r="I64" t="s">
        <v>522</v>
      </c>
      <c r="J64" t="str">
        <f t="shared" si="5"/>
        <v>&lt;G1P&gt;`     Group of friends in online</v>
      </c>
    </row>
    <row r="65" spans="1:10" x14ac:dyDescent="0.25">
      <c r="A65" s="144">
        <v>2124</v>
      </c>
      <c r="B65" s="145" t="s">
        <v>713</v>
      </c>
      <c r="C65" t="s">
        <v>16</v>
      </c>
      <c r="D65" t="s">
        <v>318</v>
      </c>
      <c r="F65" t="s">
        <v>326</v>
      </c>
      <c r="G65">
        <f t="shared" si="3"/>
        <v>2124</v>
      </c>
      <c r="H65" t="str">
        <f t="shared" si="4"/>
        <v>`     United</v>
      </c>
      <c r="I65" t="s">
        <v>522</v>
      </c>
      <c r="J65" t="str">
        <f t="shared" si="5"/>
        <v>&lt;G1P&gt;`     United</v>
      </c>
    </row>
    <row r="66" spans="1:10" x14ac:dyDescent="0.25">
      <c r="A66" s="144">
        <v>2128</v>
      </c>
      <c r="B66" s="145" t="s">
        <v>714</v>
      </c>
      <c r="C66" t="s">
        <v>16</v>
      </c>
      <c r="D66" t="s">
        <v>318</v>
      </c>
      <c r="F66" t="s">
        <v>326</v>
      </c>
      <c r="G66">
        <f t="shared" ref="G66:G97" si="6">IF(A66="","",A66)</f>
        <v>2128</v>
      </c>
      <c r="H66" t="str">
        <f t="shared" ref="H66:H97" si="7">_xlfn.CONCAT(D66,SUBSTITUTE(B66,"""","`"""),E66)</f>
        <v>`     GCash is for the whole family</v>
      </c>
      <c r="I66" t="s">
        <v>522</v>
      </c>
      <c r="J66" t="str">
        <f t="shared" ref="J66:J97" si="8">_xlfn.CONCAT(I66,H66)</f>
        <v>&lt;G1P&gt;`     GCash is for the whole family</v>
      </c>
    </row>
    <row r="67" spans="1:10" x14ac:dyDescent="0.25">
      <c r="A67" s="144">
        <v>2129</v>
      </c>
      <c r="B67" s="145" t="s">
        <v>715</v>
      </c>
      <c r="C67" t="s">
        <v>16</v>
      </c>
      <c r="D67" t="s">
        <v>318</v>
      </c>
      <c r="F67" t="s">
        <v>326</v>
      </c>
      <c r="G67">
        <f t="shared" si="6"/>
        <v>2129</v>
      </c>
      <c r="H67" t="str">
        <f t="shared" si="7"/>
        <v>`     For the family</v>
      </c>
      <c r="I67" t="s">
        <v>522</v>
      </c>
      <c r="J67" t="str">
        <f t="shared" si="8"/>
        <v>&lt;G1P&gt;`     For the family</v>
      </c>
    </row>
    <row r="68" spans="1:10" x14ac:dyDescent="0.25">
      <c r="A68" s="144">
        <v>2130</v>
      </c>
      <c r="B68" s="145" t="s">
        <v>716</v>
      </c>
      <c r="C68" t="s">
        <v>16</v>
      </c>
      <c r="D68" t="s">
        <v>318</v>
      </c>
      <c r="F68" t="s">
        <v>326</v>
      </c>
      <c r="G68">
        <f t="shared" si="6"/>
        <v>2130</v>
      </c>
      <c r="H68" t="str">
        <f t="shared" si="7"/>
        <v>`     Bonding of family with GCash</v>
      </c>
      <c r="I68" t="s">
        <v>521</v>
      </c>
      <c r="J68" t="str">
        <f t="shared" si="8"/>
        <v>&lt;G2E&gt;&lt;G1P&gt;`     Bonding of family with GCash</v>
      </c>
    </row>
    <row r="69" spans="1:10" ht="15.75" x14ac:dyDescent="0.25">
      <c r="A69" s="33" t="s">
        <v>805</v>
      </c>
      <c r="B69" s="142" t="s">
        <v>717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2065+2066+2122+2143</v>
      </c>
      <c r="H69" t="str">
        <f t="shared" si="7"/>
        <v>`CONNECTING WITH FAMILY/FRIENDS THROUGH GCASH (NET)&lt;Q&gt;</v>
      </c>
      <c r="J69" t="str">
        <f t="shared" si="8"/>
        <v>`CONNECTING WITH FAMILY/FRIENDS THROUGH GCASH (NET)&lt;Q&gt;</v>
      </c>
    </row>
    <row r="70" spans="1:10" x14ac:dyDescent="0.25">
      <c r="A70" s="144">
        <v>2065</v>
      </c>
      <c r="B70" s="145" t="s">
        <v>718</v>
      </c>
      <c r="C70" t="s">
        <v>16</v>
      </c>
      <c r="D70" t="s">
        <v>318</v>
      </c>
      <c r="F70" t="s">
        <v>326</v>
      </c>
      <c r="G70">
        <f t="shared" si="6"/>
        <v>2065</v>
      </c>
      <c r="H70" t="str">
        <f t="shared" si="7"/>
        <v>`     Connecting family thru GCash</v>
      </c>
      <c r="I70" t="s">
        <v>520</v>
      </c>
      <c r="J70" t="str">
        <f t="shared" si="8"/>
        <v>&lt;G2B&gt;&lt;G1P&gt;`     Connecting family thru GCash</v>
      </c>
    </row>
    <row r="71" spans="1:10" x14ac:dyDescent="0.25">
      <c r="A71" s="144">
        <v>2066</v>
      </c>
      <c r="B71" s="145" t="s">
        <v>719</v>
      </c>
      <c r="C71" t="s">
        <v>16</v>
      </c>
      <c r="D71" t="s">
        <v>318</v>
      </c>
      <c r="F71" t="s">
        <v>326</v>
      </c>
      <c r="G71">
        <f t="shared" si="6"/>
        <v>2066</v>
      </c>
      <c r="H71" t="str">
        <f t="shared" si="7"/>
        <v>`     Connecting thru GCash</v>
      </c>
      <c r="I71" t="s">
        <v>522</v>
      </c>
      <c r="J71" t="str">
        <f t="shared" si="8"/>
        <v>&lt;G1P&gt;`     Connecting thru GCash</v>
      </c>
    </row>
    <row r="72" spans="1:10" x14ac:dyDescent="0.25">
      <c r="A72" s="144">
        <v>2122</v>
      </c>
      <c r="B72" s="145" t="s">
        <v>720</v>
      </c>
      <c r="C72" t="s">
        <v>16</v>
      </c>
      <c r="D72" t="s">
        <v>318</v>
      </c>
      <c r="F72" t="s">
        <v>326</v>
      </c>
      <c r="G72">
        <f t="shared" si="6"/>
        <v>2122</v>
      </c>
      <c r="H72" t="str">
        <f t="shared" si="7"/>
        <v>`     Even families are far from each other they are still connected</v>
      </c>
      <c r="I72" t="s">
        <v>522</v>
      </c>
      <c r="J72" t="str">
        <f t="shared" si="8"/>
        <v>&lt;G1P&gt;`     Even families are far from each other they are still connected</v>
      </c>
    </row>
    <row r="73" spans="1:10" x14ac:dyDescent="0.25">
      <c r="A73" s="148">
        <v>2143</v>
      </c>
      <c r="B73" s="149" t="s">
        <v>721</v>
      </c>
      <c r="C73" t="s">
        <v>16</v>
      </c>
      <c r="D73" t="s">
        <v>318</v>
      </c>
      <c r="F73" t="s">
        <v>326</v>
      </c>
      <c r="G73">
        <f t="shared" si="6"/>
        <v>2143</v>
      </c>
      <c r="H73" t="str">
        <f t="shared" si="7"/>
        <v>`     Easy connection to friends</v>
      </c>
      <c r="I73" t="s">
        <v>521</v>
      </c>
      <c r="J73" t="str">
        <f t="shared" si="8"/>
        <v>&lt;G2E&gt;&lt;G1P&gt;`     Easy connection to friends</v>
      </c>
    </row>
    <row r="74" spans="1:10" ht="15.75" x14ac:dyDescent="0.25">
      <c r="A74" s="33" t="s">
        <v>806</v>
      </c>
      <c r="B74" s="142" t="s">
        <v>400</v>
      </c>
      <c r="C74" t="s">
        <v>6</v>
      </c>
      <c r="D74" t="s">
        <v>323</v>
      </c>
      <c r="E74" t="s">
        <v>322</v>
      </c>
      <c r="F74" t="s">
        <v>327</v>
      </c>
      <c r="G74" t="str">
        <f t="shared" si="6"/>
        <v>2029+2048+2125</v>
      </c>
      <c r="H74" t="str">
        <f t="shared" si="7"/>
        <v>`PAYMENT (NET)&lt;Q&gt;</v>
      </c>
      <c r="J74" t="str">
        <f t="shared" si="8"/>
        <v>`PAYMENT (NET)&lt;Q&gt;</v>
      </c>
    </row>
    <row r="75" spans="1:10" x14ac:dyDescent="0.25">
      <c r="A75" s="33">
        <v>2029</v>
      </c>
      <c r="B75" s="143" t="s">
        <v>722</v>
      </c>
      <c r="C75" t="s">
        <v>16</v>
      </c>
      <c r="D75" t="s">
        <v>318</v>
      </c>
      <c r="F75" t="s">
        <v>326</v>
      </c>
      <c r="G75">
        <f t="shared" si="6"/>
        <v>2029</v>
      </c>
      <c r="H75" t="str">
        <f t="shared" si="7"/>
        <v>`     Easy to pay</v>
      </c>
      <c r="I75" t="s">
        <v>520</v>
      </c>
      <c r="J75" t="str">
        <f t="shared" si="8"/>
        <v>&lt;G2B&gt;&lt;G1P&gt;`     Easy to pay</v>
      </c>
    </row>
    <row r="76" spans="1:10" x14ac:dyDescent="0.25">
      <c r="A76" s="144">
        <v>2048</v>
      </c>
      <c r="B76" s="145" t="s">
        <v>723</v>
      </c>
      <c r="C76" t="s">
        <v>16</v>
      </c>
      <c r="D76" t="s">
        <v>318</v>
      </c>
      <c r="F76" t="s">
        <v>326</v>
      </c>
      <c r="G76">
        <f t="shared" si="6"/>
        <v>2048</v>
      </c>
      <c r="H76" t="str">
        <f t="shared" si="7"/>
        <v>`     Pay bills</v>
      </c>
      <c r="I76" t="s">
        <v>522</v>
      </c>
      <c r="J76" t="str">
        <f t="shared" si="8"/>
        <v>&lt;G1P&gt;`     Pay bills</v>
      </c>
    </row>
    <row r="77" spans="1:10" x14ac:dyDescent="0.25">
      <c r="A77" s="144">
        <v>2125</v>
      </c>
      <c r="B77" s="145" t="s">
        <v>724</v>
      </c>
      <c r="C77" t="s">
        <v>16</v>
      </c>
      <c r="D77" t="s">
        <v>318</v>
      </c>
      <c r="F77" t="s">
        <v>326</v>
      </c>
      <c r="G77">
        <f t="shared" si="6"/>
        <v>2125</v>
      </c>
      <c r="H77" t="str">
        <f t="shared" si="7"/>
        <v>`     Showing how easy payments are on GCash</v>
      </c>
      <c r="I77" t="s">
        <v>521</v>
      </c>
      <c r="J77" t="str">
        <f t="shared" si="8"/>
        <v>&lt;G2E&gt;&lt;G1P&gt;`     Showing how easy payments are on GCash</v>
      </c>
    </row>
    <row r="78" spans="1:10" ht="15.75" x14ac:dyDescent="0.25">
      <c r="A78" s="33" t="s">
        <v>1487</v>
      </c>
      <c r="B78" s="142" t="s">
        <v>384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2030+2031+2064+2067+2069+2070+2071+2072+2073+2094+2141</v>
      </c>
      <c r="H78" t="str">
        <f t="shared" si="7"/>
        <v>`CONVENIENCE (NET)&lt;Q&gt;</v>
      </c>
      <c r="J78" t="str">
        <f t="shared" si="8"/>
        <v>`CONVENIENCE (NET)&lt;Q&gt;</v>
      </c>
    </row>
    <row r="79" spans="1:10" x14ac:dyDescent="0.25">
      <c r="A79" s="33">
        <v>2030</v>
      </c>
      <c r="B79" s="143" t="s">
        <v>725</v>
      </c>
      <c r="C79" t="s">
        <v>16</v>
      </c>
      <c r="D79" t="s">
        <v>318</v>
      </c>
      <c r="F79" t="s">
        <v>326</v>
      </c>
      <c r="G79">
        <f t="shared" si="6"/>
        <v>2030</v>
      </c>
      <c r="H79" t="str">
        <f t="shared" si="7"/>
        <v>`     More convenient</v>
      </c>
      <c r="I79" t="s">
        <v>520</v>
      </c>
      <c r="J79" t="str">
        <f t="shared" si="8"/>
        <v>&lt;G2B&gt;&lt;G1P&gt;`     More convenient</v>
      </c>
    </row>
    <row r="80" spans="1:10" x14ac:dyDescent="0.25">
      <c r="A80" s="33">
        <v>2031</v>
      </c>
      <c r="B80" s="143" t="s">
        <v>726</v>
      </c>
      <c r="C80" t="s">
        <v>16</v>
      </c>
      <c r="D80" t="s">
        <v>318</v>
      </c>
      <c r="F80" t="s">
        <v>326</v>
      </c>
      <c r="G80">
        <f t="shared" si="6"/>
        <v>2031</v>
      </c>
      <c r="H80" t="str">
        <f t="shared" si="7"/>
        <v>`     Convenient since no need to go to the stores to buy load</v>
      </c>
      <c r="I80" t="s">
        <v>522</v>
      </c>
      <c r="J80" t="str">
        <f t="shared" si="8"/>
        <v>&lt;G1P&gt;`     Convenient since no need to go to the stores to buy load</v>
      </c>
    </row>
    <row r="81" spans="1:10" x14ac:dyDescent="0.25">
      <c r="A81" s="144">
        <v>2064</v>
      </c>
      <c r="B81" s="145" t="s">
        <v>727</v>
      </c>
      <c r="C81" t="s">
        <v>16</v>
      </c>
      <c r="D81" t="s">
        <v>318</v>
      </c>
      <c r="F81" t="s">
        <v>326</v>
      </c>
      <c r="G81">
        <f t="shared" si="6"/>
        <v>2064</v>
      </c>
      <c r="H81" t="str">
        <f t="shared" si="7"/>
        <v>`     Comfortable to load on GCash</v>
      </c>
      <c r="I81" t="s">
        <v>522</v>
      </c>
      <c r="J81" t="str">
        <f t="shared" si="8"/>
        <v>&lt;G1P&gt;`     Comfortable to load on GCash</v>
      </c>
    </row>
    <row r="82" spans="1:10" x14ac:dyDescent="0.25">
      <c r="A82" s="144">
        <v>2067</v>
      </c>
      <c r="B82" s="145" t="s">
        <v>385</v>
      </c>
      <c r="C82" t="s">
        <v>16</v>
      </c>
      <c r="D82" t="s">
        <v>318</v>
      </c>
      <c r="F82" t="s">
        <v>326</v>
      </c>
      <c r="G82">
        <f t="shared" si="6"/>
        <v>2067</v>
      </c>
      <c r="H82" t="str">
        <f t="shared" si="7"/>
        <v>`     Convenient</v>
      </c>
      <c r="I82" t="s">
        <v>522</v>
      </c>
      <c r="J82" t="str">
        <f t="shared" si="8"/>
        <v>&lt;G1P&gt;`     Convenient</v>
      </c>
    </row>
    <row r="83" spans="1:10" x14ac:dyDescent="0.25">
      <c r="A83" s="144">
        <v>2069</v>
      </c>
      <c r="B83" s="145" t="s">
        <v>728</v>
      </c>
      <c r="C83" t="s">
        <v>16</v>
      </c>
      <c r="D83" t="s">
        <v>318</v>
      </c>
      <c r="F83" t="s">
        <v>326</v>
      </c>
      <c r="G83">
        <f t="shared" si="6"/>
        <v>2069</v>
      </c>
      <c r="H83" t="str">
        <f t="shared" si="7"/>
        <v>`     Apps is convenient to use</v>
      </c>
      <c r="I83" t="s">
        <v>522</v>
      </c>
      <c r="J83" t="str">
        <f t="shared" si="8"/>
        <v>&lt;G1P&gt;`     Apps is convenient to use</v>
      </c>
    </row>
    <row r="84" spans="1:10" x14ac:dyDescent="0.25">
      <c r="A84" s="144">
        <v>2070</v>
      </c>
      <c r="B84" s="145" t="s">
        <v>729</v>
      </c>
      <c r="C84" t="s">
        <v>16</v>
      </c>
      <c r="D84" t="s">
        <v>318</v>
      </c>
      <c r="F84" t="s">
        <v>326</v>
      </c>
      <c r="G84">
        <f t="shared" si="6"/>
        <v>2070</v>
      </c>
      <c r="H84" t="str">
        <f t="shared" si="7"/>
        <v>`     Convenient to load online</v>
      </c>
      <c r="I84" t="s">
        <v>522</v>
      </c>
      <c r="J84" t="str">
        <f t="shared" si="8"/>
        <v>&lt;G1P&gt;`     Convenient to load online</v>
      </c>
    </row>
    <row r="85" spans="1:10" x14ac:dyDescent="0.25">
      <c r="A85" s="144">
        <v>2071</v>
      </c>
      <c r="B85" s="145" t="s">
        <v>730</v>
      </c>
      <c r="C85" t="s">
        <v>16</v>
      </c>
      <c r="D85" t="s">
        <v>318</v>
      </c>
      <c r="F85" t="s">
        <v>326</v>
      </c>
      <c r="G85">
        <f t="shared" si="6"/>
        <v>2071</v>
      </c>
      <c r="H85" t="str">
        <f t="shared" si="7"/>
        <v>`     Convenient to use</v>
      </c>
      <c r="I85" t="s">
        <v>522</v>
      </c>
      <c r="J85" t="str">
        <f t="shared" si="8"/>
        <v>&lt;G1P&gt;`     Convenient to use</v>
      </c>
    </row>
    <row r="86" spans="1:10" x14ac:dyDescent="0.25">
      <c r="A86" s="144">
        <v>2072</v>
      </c>
      <c r="B86" s="145" t="s">
        <v>731</v>
      </c>
      <c r="C86" t="s">
        <v>16</v>
      </c>
      <c r="D86" t="s">
        <v>318</v>
      </c>
      <c r="F86" t="s">
        <v>326</v>
      </c>
      <c r="G86">
        <f t="shared" si="6"/>
        <v>2072</v>
      </c>
      <c r="H86" t="str">
        <f t="shared" si="7"/>
        <v>`     User-friendly</v>
      </c>
      <c r="I86" t="s">
        <v>522</v>
      </c>
      <c r="J86" t="str">
        <f t="shared" si="8"/>
        <v>&lt;G1P&gt;`     User-friendly</v>
      </c>
    </row>
    <row r="87" spans="1:10" x14ac:dyDescent="0.25">
      <c r="A87" s="144">
        <v>2073</v>
      </c>
      <c r="B87" s="145" t="s">
        <v>732</v>
      </c>
      <c r="C87" t="s">
        <v>16</v>
      </c>
      <c r="D87" t="s">
        <v>318</v>
      </c>
      <c r="F87" t="s">
        <v>326</v>
      </c>
      <c r="G87">
        <f t="shared" si="6"/>
        <v>2073</v>
      </c>
      <c r="H87" t="str">
        <f t="shared" si="7"/>
        <v>`     GCash is convenient to use</v>
      </c>
      <c r="I87" t="s">
        <v>522</v>
      </c>
      <c r="J87" t="str">
        <f t="shared" si="8"/>
        <v>&lt;G1P&gt;`     GCash is convenient to use</v>
      </c>
    </row>
    <row r="88" spans="1:10" x14ac:dyDescent="0.25">
      <c r="A88" s="144">
        <v>2094</v>
      </c>
      <c r="B88" s="145" t="s">
        <v>733</v>
      </c>
      <c r="C88" t="s">
        <v>16</v>
      </c>
      <c r="D88" t="s">
        <v>318</v>
      </c>
      <c r="F88" t="s">
        <v>326</v>
      </c>
      <c r="G88">
        <f t="shared" si="6"/>
        <v>2094</v>
      </c>
      <c r="H88" t="str">
        <f t="shared" si="7"/>
        <v>`     Install GCash app for easy transactions</v>
      </c>
      <c r="I88" t="s">
        <v>522</v>
      </c>
      <c r="J88" t="str">
        <f t="shared" si="8"/>
        <v>&lt;G1P&gt;`     Install GCash app for easy transactions</v>
      </c>
    </row>
    <row r="89" spans="1:10" x14ac:dyDescent="0.25">
      <c r="A89" s="148">
        <v>2141</v>
      </c>
      <c r="B89" s="149" t="s">
        <v>685</v>
      </c>
      <c r="C89" t="s">
        <v>16</v>
      </c>
      <c r="D89" t="s">
        <v>318</v>
      </c>
      <c r="F89" t="s">
        <v>326</v>
      </c>
      <c r="G89">
        <f t="shared" si="6"/>
        <v>2141</v>
      </c>
      <c r="H89" t="str">
        <f t="shared" si="7"/>
        <v>`     Can buy load even you are at home</v>
      </c>
      <c r="I89" t="s">
        <v>521</v>
      </c>
      <c r="J89" t="str">
        <f t="shared" si="8"/>
        <v>&lt;G2E&gt;&lt;G1P&gt;`     Can buy load even you are at home</v>
      </c>
    </row>
    <row r="90" spans="1:10" ht="15.75" x14ac:dyDescent="0.25">
      <c r="A90" s="33" t="s">
        <v>1488</v>
      </c>
      <c r="B90" s="142" t="s">
        <v>734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2032+2086+2089</v>
      </c>
      <c r="H90" t="str">
        <f t="shared" si="7"/>
        <v>`GCASH IS RELIABLE (NET)&lt;Q&gt;</v>
      </c>
      <c r="J90" t="str">
        <f t="shared" si="8"/>
        <v>`GCASH IS RELIABLE (NET)&lt;Q&gt;</v>
      </c>
    </row>
    <row r="91" spans="1:10" x14ac:dyDescent="0.25">
      <c r="A91" s="33">
        <v>2032</v>
      </c>
      <c r="B91" s="143" t="s">
        <v>735</v>
      </c>
      <c r="C91" t="s">
        <v>16</v>
      </c>
      <c r="D91" t="s">
        <v>318</v>
      </c>
      <c r="F91" t="s">
        <v>326</v>
      </c>
      <c r="G91">
        <f t="shared" si="6"/>
        <v>2032</v>
      </c>
      <c r="H91" t="str">
        <f t="shared" si="7"/>
        <v>`     GCash is reliable</v>
      </c>
      <c r="I91" t="s">
        <v>520</v>
      </c>
      <c r="J91" t="str">
        <f t="shared" si="8"/>
        <v>&lt;G2B&gt;&lt;G1P&gt;`     GCash is reliable</v>
      </c>
    </row>
    <row r="92" spans="1:10" x14ac:dyDescent="0.25">
      <c r="A92" s="144">
        <v>2086</v>
      </c>
      <c r="B92" s="145" t="s">
        <v>736</v>
      </c>
      <c r="C92" t="s">
        <v>16</v>
      </c>
      <c r="D92" t="s">
        <v>318</v>
      </c>
      <c r="F92" t="s">
        <v>326</v>
      </c>
      <c r="G92">
        <f t="shared" si="6"/>
        <v>2086</v>
      </c>
      <c r="H92" t="str">
        <f t="shared" si="7"/>
        <v>`     Reliable anywhere you go</v>
      </c>
      <c r="I92" t="s">
        <v>522</v>
      </c>
      <c r="J92" t="str">
        <f t="shared" si="8"/>
        <v>&lt;G1P&gt;`     Reliable anywhere you go</v>
      </c>
    </row>
    <row r="93" spans="1:10" x14ac:dyDescent="0.25">
      <c r="A93" s="144">
        <v>2089</v>
      </c>
      <c r="B93" s="145" t="s">
        <v>737</v>
      </c>
      <c r="C93" t="s">
        <v>16</v>
      </c>
      <c r="D93" t="s">
        <v>318</v>
      </c>
      <c r="F93" t="s">
        <v>326</v>
      </c>
      <c r="G93">
        <f t="shared" si="6"/>
        <v>2089</v>
      </c>
      <c r="H93" t="str">
        <f t="shared" si="7"/>
        <v>`     GCash is reliable anytime</v>
      </c>
      <c r="I93" t="s">
        <v>521</v>
      </c>
      <c r="J93" t="str">
        <f t="shared" si="8"/>
        <v>&lt;G2E&gt;&lt;G1P&gt;`     GCash is reliable anytime</v>
      </c>
    </row>
    <row r="94" spans="1:10" ht="15.75" x14ac:dyDescent="0.25">
      <c r="A94" s="33" t="s">
        <v>808</v>
      </c>
      <c r="B94" s="142" t="s">
        <v>738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2033+2034+2035+2036+2005+2058+2068+2074+2075+2091+2105+2106+2098+2140</v>
      </c>
      <c r="H94" t="str">
        <f t="shared" si="7"/>
        <v>`EASE OF USE (NET)&lt;Q&gt;</v>
      </c>
      <c r="J94" t="str">
        <f t="shared" si="8"/>
        <v>`EASE OF USE (NET)&lt;Q&gt;</v>
      </c>
    </row>
    <row r="95" spans="1:10" x14ac:dyDescent="0.25">
      <c r="A95" s="33">
        <v>2033</v>
      </c>
      <c r="B95" s="143" t="s">
        <v>739</v>
      </c>
      <c r="C95" t="s">
        <v>16</v>
      </c>
      <c r="D95" t="s">
        <v>318</v>
      </c>
      <c r="F95" t="s">
        <v>326</v>
      </c>
      <c r="G95">
        <f t="shared" si="6"/>
        <v>2033</v>
      </c>
      <c r="H95" t="str">
        <f t="shared" si="7"/>
        <v xml:space="preserve">`     Easy to use </v>
      </c>
      <c r="I95" t="s">
        <v>520</v>
      </c>
      <c r="J95" t="str">
        <f t="shared" si="8"/>
        <v xml:space="preserve">&lt;G2B&gt;&lt;G1P&gt;`     Easy to use </v>
      </c>
    </row>
    <row r="96" spans="1:10" x14ac:dyDescent="0.25">
      <c r="A96" s="33">
        <v>2034</v>
      </c>
      <c r="B96" s="143" t="s">
        <v>740</v>
      </c>
      <c r="C96" t="s">
        <v>16</v>
      </c>
      <c r="D96" t="s">
        <v>318</v>
      </c>
      <c r="F96" t="s">
        <v>326</v>
      </c>
      <c r="G96">
        <f t="shared" si="6"/>
        <v>2034</v>
      </c>
      <c r="H96" t="str">
        <f t="shared" si="7"/>
        <v>`     Can easily buy load</v>
      </c>
      <c r="I96" t="s">
        <v>522</v>
      </c>
      <c r="J96" t="str">
        <f t="shared" si="8"/>
        <v>&lt;G1P&gt;`     Can easily buy load</v>
      </c>
    </row>
    <row r="97" spans="1:10" x14ac:dyDescent="0.25">
      <c r="A97" s="33">
        <v>2035</v>
      </c>
      <c r="B97" s="143" t="s">
        <v>741</v>
      </c>
      <c r="C97" t="s">
        <v>16</v>
      </c>
      <c r="D97" t="s">
        <v>318</v>
      </c>
      <c r="F97" t="s">
        <v>326</v>
      </c>
      <c r="G97">
        <f t="shared" si="6"/>
        <v>2035</v>
      </c>
      <c r="H97" t="str">
        <f t="shared" si="7"/>
        <v>`     Easy to buy load via GCash</v>
      </c>
      <c r="I97" t="s">
        <v>522</v>
      </c>
      <c r="J97" t="str">
        <f t="shared" si="8"/>
        <v>&lt;G1P&gt;`     Easy to buy load via GCash</v>
      </c>
    </row>
    <row r="98" spans="1:10" x14ac:dyDescent="0.25">
      <c r="A98" s="33">
        <v>2036</v>
      </c>
      <c r="B98" s="143" t="s">
        <v>742</v>
      </c>
      <c r="C98" t="s">
        <v>16</v>
      </c>
      <c r="D98" t="s">
        <v>318</v>
      </c>
      <c r="F98" t="s">
        <v>326</v>
      </c>
      <c r="G98">
        <f t="shared" ref="G98:G129" si="9">IF(A98="","",A98)</f>
        <v>2036</v>
      </c>
      <c r="H98" t="str">
        <f t="shared" ref="H98:H129" si="10">_xlfn.CONCAT(D98,SUBSTITUTE(B98,"""","`"""),E98)</f>
        <v>`     Easy to use for all transactions</v>
      </c>
      <c r="I98" t="s">
        <v>522</v>
      </c>
      <c r="J98" t="str">
        <f t="shared" ref="J98:J129" si="11">_xlfn.CONCAT(I98,H98)</f>
        <v>&lt;G1P&gt;`     Easy to use for all transactions</v>
      </c>
    </row>
    <row r="99" spans="1:10" x14ac:dyDescent="0.25">
      <c r="A99" s="33">
        <v>2005</v>
      </c>
      <c r="B99" s="143" t="s">
        <v>743</v>
      </c>
      <c r="C99" t="s">
        <v>16</v>
      </c>
      <c r="D99" t="s">
        <v>318</v>
      </c>
      <c r="F99" t="s">
        <v>326</v>
      </c>
      <c r="G99">
        <f t="shared" si="9"/>
        <v>2005</v>
      </c>
      <c r="H99" t="str">
        <f t="shared" si="10"/>
        <v>`     Easy transaction</v>
      </c>
      <c r="I99" t="s">
        <v>522</v>
      </c>
      <c r="J99" t="str">
        <f t="shared" si="11"/>
        <v>&lt;G1P&gt;`     Easy transaction</v>
      </c>
    </row>
    <row r="100" spans="1:10" x14ac:dyDescent="0.25">
      <c r="A100" s="144">
        <v>2058</v>
      </c>
      <c r="B100" s="145" t="s">
        <v>744</v>
      </c>
      <c r="C100" t="s">
        <v>16</v>
      </c>
      <c r="D100" t="s">
        <v>318</v>
      </c>
      <c r="F100" t="s">
        <v>326</v>
      </c>
      <c r="G100">
        <f t="shared" si="9"/>
        <v>2058</v>
      </c>
      <c r="H100" t="str">
        <f t="shared" si="10"/>
        <v>`     GCash has easy transactions</v>
      </c>
      <c r="I100" t="s">
        <v>522</v>
      </c>
      <c r="J100" t="str">
        <f t="shared" si="11"/>
        <v>&lt;G1P&gt;`     GCash has easy transactions</v>
      </c>
    </row>
    <row r="101" spans="1:10" x14ac:dyDescent="0.25">
      <c r="A101" s="144">
        <v>2068</v>
      </c>
      <c r="B101" s="145" t="s">
        <v>745</v>
      </c>
      <c r="C101" t="s">
        <v>16</v>
      </c>
      <c r="D101" t="s">
        <v>318</v>
      </c>
      <c r="F101" t="s">
        <v>326</v>
      </c>
      <c r="G101">
        <f t="shared" si="9"/>
        <v>2068</v>
      </c>
      <c r="H101" t="str">
        <f t="shared" si="10"/>
        <v>`     Useful</v>
      </c>
      <c r="I101" t="s">
        <v>522</v>
      </c>
      <c r="J101" t="str">
        <f t="shared" si="11"/>
        <v>&lt;G1P&gt;`     Useful</v>
      </c>
    </row>
    <row r="102" spans="1:10" x14ac:dyDescent="0.25">
      <c r="A102" s="144">
        <v>2074</v>
      </c>
      <c r="B102" s="145" t="s">
        <v>746</v>
      </c>
      <c r="C102" t="s">
        <v>16</v>
      </c>
      <c r="D102" t="s">
        <v>318</v>
      </c>
      <c r="F102" t="s">
        <v>326</v>
      </c>
      <c r="G102">
        <f t="shared" si="9"/>
        <v>2074</v>
      </c>
      <c r="H102" t="str">
        <f t="shared" si="10"/>
        <v>`     Easy</v>
      </c>
      <c r="I102" t="s">
        <v>522</v>
      </c>
      <c r="J102" t="str">
        <f t="shared" si="11"/>
        <v>&lt;G1P&gt;`     Easy</v>
      </c>
    </row>
    <row r="103" spans="1:10" x14ac:dyDescent="0.25">
      <c r="A103" s="144">
        <v>2075</v>
      </c>
      <c r="B103" s="145" t="s">
        <v>747</v>
      </c>
      <c r="C103" t="s">
        <v>16</v>
      </c>
      <c r="D103" t="s">
        <v>318</v>
      </c>
      <c r="F103" t="s">
        <v>326</v>
      </c>
      <c r="G103">
        <f t="shared" si="9"/>
        <v>2075</v>
      </c>
      <c r="H103" t="str">
        <f t="shared" si="10"/>
        <v>`     No hassle</v>
      </c>
      <c r="I103" t="s">
        <v>522</v>
      </c>
      <c r="J103" t="str">
        <f t="shared" si="11"/>
        <v>&lt;G1P&gt;`     No hassle</v>
      </c>
    </row>
    <row r="104" spans="1:10" x14ac:dyDescent="0.25">
      <c r="A104" s="144">
        <v>2091</v>
      </c>
      <c r="B104" s="145" t="s">
        <v>748</v>
      </c>
      <c r="C104" t="s">
        <v>16</v>
      </c>
      <c r="D104" t="s">
        <v>318</v>
      </c>
      <c r="F104" t="s">
        <v>326</v>
      </c>
      <c r="G104">
        <f t="shared" si="9"/>
        <v>2091</v>
      </c>
      <c r="H104" t="str">
        <f t="shared" si="10"/>
        <v>`     Easy to use GCash</v>
      </c>
      <c r="I104" t="s">
        <v>522</v>
      </c>
      <c r="J104" t="str">
        <f t="shared" si="11"/>
        <v>&lt;G1P&gt;`     Easy to use GCash</v>
      </c>
    </row>
    <row r="105" spans="1:10" x14ac:dyDescent="0.25">
      <c r="A105" s="144">
        <v>2105</v>
      </c>
      <c r="B105" s="145" t="s">
        <v>749</v>
      </c>
      <c r="C105" t="s">
        <v>16</v>
      </c>
      <c r="D105" t="s">
        <v>318</v>
      </c>
      <c r="F105" t="s">
        <v>326</v>
      </c>
      <c r="G105">
        <f t="shared" si="9"/>
        <v>2105</v>
      </c>
      <c r="H105" t="str">
        <f t="shared" si="10"/>
        <v>`     Easy to do transactions online</v>
      </c>
      <c r="I105" t="s">
        <v>522</v>
      </c>
      <c r="J105" t="str">
        <f t="shared" si="11"/>
        <v>&lt;G1P&gt;`     Easy to do transactions online</v>
      </c>
    </row>
    <row r="106" spans="1:10" x14ac:dyDescent="0.25">
      <c r="A106" s="144">
        <v>2106</v>
      </c>
      <c r="B106" s="145" t="s">
        <v>750</v>
      </c>
      <c r="C106" t="s">
        <v>16</v>
      </c>
      <c r="D106" t="s">
        <v>318</v>
      </c>
      <c r="F106" t="s">
        <v>326</v>
      </c>
      <c r="G106">
        <f t="shared" si="9"/>
        <v>2106</v>
      </c>
      <c r="H106" t="str">
        <f t="shared" si="10"/>
        <v>`     Can easily do transactions in our lives everyday</v>
      </c>
      <c r="I106" t="s">
        <v>522</v>
      </c>
      <c r="J106" t="str">
        <f t="shared" si="11"/>
        <v>&lt;G1P&gt;`     Can easily do transactions in our lives everyday</v>
      </c>
    </row>
    <row r="107" spans="1:10" x14ac:dyDescent="0.25">
      <c r="A107" s="144">
        <v>2098</v>
      </c>
      <c r="B107" s="145" t="s">
        <v>751</v>
      </c>
      <c r="C107" t="s">
        <v>16</v>
      </c>
      <c r="D107" t="s">
        <v>318</v>
      </c>
      <c r="F107" t="s">
        <v>326</v>
      </c>
      <c r="G107">
        <f t="shared" si="9"/>
        <v>2098</v>
      </c>
      <c r="H107" t="str">
        <f t="shared" si="10"/>
        <v>`     Showing how easy to use</v>
      </c>
      <c r="I107" t="s">
        <v>522</v>
      </c>
      <c r="J107" t="str">
        <f t="shared" si="11"/>
        <v>&lt;G1P&gt;`     Showing how easy to use</v>
      </c>
    </row>
    <row r="108" spans="1:10" x14ac:dyDescent="0.25">
      <c r="A108" s="150">
        <v>2140</v>
      </c>
      <c r="B108" s="149" t="s">
        <v>752</v>
      </c>
      <c r="C108" t="s">
        <v>16</v>
      </c>
      <c r="D108" t="s">
        <v>318</v>
      </c>
      <c r="F108" t="s">
        <v>326</v>
      </c>
      <c r="G108">
        <f t="shared" si="9"/>
        <v>2140</v>
      </c>
      <c r="H108" t="str">
        <f t="shared" si="10"/>
        <v>`     Easy to load</v>
      </c>
      <c r="I108" t="s">
        <v>521</v>
      </c>
      <c r="J108" t="str">
        <f t="shared" si="11"/>
        <v>&lt;G2E&gt;&lt;G1P&gt;`     Easy to load</v>
      </c>
    </row>
    <row r="109" spans="1:10" ht="15.75" x14ac:dyDescent="0.25">
      <c r="A109" s="146" t="s">
        <v>809</v>
      </c>
      <c r="B109" s="142" t="s">
        <v>411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2009+2010+2011+2014+2012+2053+2062+2077+2109+2138</v>
      </c>
      <c r="H109" t="str">
        <f t="shared" si="10"/>
        <v>`FAST TRANSACTION (NET)&lt;Q&gt;</v>
      </c>
      <c r="J109" t="str">
        <f t="shared" si="11"/>
        <v>`FAST TRANSACTION (NET)&lt;Q&gt;</v>
      </c>
    </row>
    <row r="110" spans="1:10" x14ac:dyDescent="0.25">
      <c r="A110" s="146">
        <v>2009</v>
      </c>
      <c r="B110" s="143" t="s">
        <v>412</v>
      </c>
      <c r="C110" t="s">
        <v>16</v>
      </c>
      <c r="D110" t="s">
        <v>318</v>
      </c>
      <c r="F110" t="s">
        <v>326</v>
      </c>
      <c r="G110">
        <f t="shared" si="9"/>
        <v>2009</v>
      </c>
      <c r="H110" t="str">
        <f t="shared" si="10"/>
        <v>`     Fast transaction</v>
      </c>
      <c r="I110" t="s">
        <v>520</v>
      </c>
      <c r="J110" t="str">
        <f t="shared" si="11"/>
        <v>&lt;G2B&gt;&lt;G1P&gt;`     Fast transaction</v>
      </c>
    </row>
    <row r="111" spans="1:10" x14ac:dyDescent="0.25">
      <c r="A111" s="146">
        <v>2010</v>
      </c>
      <c r="B111" s="143" t="s">
        <v>753</v>
      </c>
      <c r="C111" t="s">
        <v>16</v>
      </c>
      <c r="D111" t="s">
        <v>318</v>
      </c>
      <c r="F111" t="s">
        <v>326</v>
      </c>
      <c r="G111">
        <f t="shared" si="9"/>
        <v>2010</v>
      </c>
      <c r="H111" t="str">
        <f t="shared" si="10"/>
        <v>`     Faster transactions</v>
      </c>
      <c r="I111" t="s">
        <v>522</v>
      </c>
      <c r="J111" t="str">
        <f t="shared" si="11"/>
        <v>&lt;G1P&gt;`     Faster transactions</v>
      </c>
    </row>
    <row r="112" spans="1:10" x14ac:dyDescent="0.25">
      <c r="A112" s="146" t="s">
        <v>754</v>
      </c>
      <c r="B112" s="143" t="s">
        <v>755</v>
      </c>
      <c r="C112" t="s">
        <v>16</v>
      </c>
      <c r="D112" t="s">
        <v>318</v>
      </c>
      <c r="F112" t="s">
        <v>326</v>
      </c>
      <c r="G112" t="str">
        <f t="shared" si="9"/>
        <v>2011+2014</v>
      </c>
      <c r="H112" t="str">
        <f t="shared" si="10"/>
        <v>`     Quick to load via GCash</v>
      </c>
      <c r="I112" t="s">
        <v>522</v>
      </c>
      <c r="J112" t="str">
        <f t="shared" si="11"/>
        <v>&lt;G1P&gt;`     Quick to load via GCash</v>
      </c>
    </row>
    <row r="113" spans="1:10" x14ac:dyDescent="0.25">
      <c r="A113" s="146">
        <v>2012</v>
      </c>
      <c r="B113" s="143" t="s">
        <v>756</v>
      </c>
      <c r="C113" t="s">
        <v>16</v>
      </c>
      <c r="D113" t="s">
        <v>318</v>
      </c>
      <c r="F113" t="s">
        <v>326</v>
      </c>
      <c r="G113">
        <f t="shared" si="9"/>
        <v>2012</v>
      </c>
      <c r="H113" t="str">
        <f t="shared" si="10"/>
        <v>`     Faster transactions in GCash</v>
      </c>
      <c r="I113" t="s">
        <v>522</v>
      </c>
      <c r="J113" t="str">
        <f t="shared" si="11"/>
        <v>&lt;G1P&gt;`     Faster transactions in GCash</v>
      </c>
    </row>
    <row r="114" spans="1:10" x14ac:dyDescent="0.25">
      <c r="A114" s="147">
        <v>2053</v>
      </c>
      <c r="B114" s="145" t="s">
        <v>757</v>
      </c>
      <c r="C114" t="s">
        <v>16</v>
      </c>
      <c r="D114" t="s">
        <v>318</v>
      </c>
      <c r="F114" t="s">
        <v>326</v>
      </c>
      <c r="G114">
        <f t="shared" si="9"/>
        <v>2053</v>
      </c>
      <c r="H114" t="str">
        <f t="shared" si="10"/>
        <v>`     Fast transactions to buy load</v>
      </c>
      <c r="I114" t="s">
        <v>522</v>
      </c>
      <c r="J114" t="str">
        <f t="shared" si="11"/>
        <v>&lt;G1P&gt;`     Fast transactions to buy load</v>
      </c>
    </row>
    <row r="115" spans="1:10" x14ac:dyDescent="0.25">
      <c r="A115" s="147">
        <v>2062</v>
      </c>
      <c r="B115" s="145" t="s">
        <v>758</v>
      </c>
      <c r="C115" t="s">
        <v>16</v>
      </c>
      <c r="D115" t="s">
        <v>318</v>
      </c>
      <c r="F115" t="s">
        <v>326</v>
      </c>
      <c r="G115">
        <f t="shared" si="9"/>
        <v>2062</v>
      </c>
      <c r="H115" t="str">
        <f t="shared" si="10"/>
        <v>`     Can buy load faster</v>
      </c>
      <c r="I115" t="s">
        <v>522</v>
      </c>
      <c r="J115" t="str">
        <f t="shared" si="11"/>
        <v>&lt;G1P&gt;`     Can buy load faster</v>
      </c>
    </row>
    <row r="116" spans="1:10" x14ac:dyDescent="0.25">
      <c r="A116" s="147">
        <v>2077</v>
      </c>
      <c r="B116" s="145" t="s">
        <v>759</v>
      </c>
      <c r="C116" t="s">
        <v>16</v>
      </c>
      <c r="D116" t="s">
        <v>318</v>
      </c>
      <c r="F116" t="s">
        <v>326</v>
      </c>
      <c r="G116">
        <f t="shared" si="9"/>
        <v>2077</v>
      </c>
      <c r="H116" t="str">
        <f t="shared" si="10"/>
        <v>`     Fast to any transactions</v>
      </c>
      <c r="I116" t="s">
        <v>522</v>
      </c>
      <c r="J116" t="str">
        <f t="shared" si="11"/>
        <v>&lt;G1P&gt;`     Fast to any transactions</v>
      </c>
    </row>
    <row r="117" spans="1:10" x14ac:dyDescent="0.25">
      <c r="A117" s="147">
        <v>2109</v>
      </c>
      <c r="B117" s="145" t="s">
        <v>760</v>
      </c>
      <c r="C117" t="s">
        <v>16</v>
      </c>
      <c r="D117" t="s">
        <v>318</v>
      </c>
      <c r="F117" t="s">
        <v>326</v>
      </c>
      <c r="G117">
        <f t="shared" si="9"/>
        <v>2109</v>
      </c>
      <c r="H117" t="str">
        <f t="shared" si="10"/>
        <v>`     Can rely for fast transactions in case of emergency</v>
      </c>
      <c r="I117" t="s">
        <v>522</v>
      </c>
      <c r="J117" t="str">
        <f t="shared" si="11"/>
        <v>&lt;G1P&gt;`     Can rely for fast transactions in case of emergency</v>
      </c>
    </row>
    <row r="118" spans="1:10" x14ac:dyDescent="0.25">
      <c r="A118" s="148">
        <v>2138</v>
      </c>
      <c r="B118" s="149" t="s">
        <v>761</v>
      </c>
      <c r="C118" t="s">
        <v>16</v>
      </c>
      <c r="D118" t="s">
        <v>318</v>
      </c>
      <c r="F118" t="s">
        <v>326</v>
      </c>
      <c r="G118">
        <f t="shared" si="9"/>
        <v>2138</v>
      </c>
      <c r="H118" t="str">
        <f t="shared" si="10"/>
        <v>`     Fast sending money using GCash</v>
      </c>
      <c r="I118" t="s">
        <v>521</v>
      </c>
      <c r="J118" t="str">
        <f t="shared" si="11"/>
        <v>&lt;G2E&gt;&lt;G1P&gt;`     Fast sending money using GCash</v>
      </c>
    </row>
    <row r="119" spans="1:10" ht="15.75" x14ac:dyDescent="0.25">
      <c r="A119" s="33" t="s">
        <v>810</v>
      </c>
      <c r="B119" s="142" t="s">
        <v>456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2037+2083</v>
      </c>
      <c r="H119" t="str">
        <f t="shared" si="10"/>
        <v>`INCLUSIVITY (NET)&lt;Q&gt;</v>
      </c>
      <c r="J119" t="str">
        <f t="shared" si="11"/>
        <v>`INCLUSIVITY (NET)&lt;Q&gt;</v>
      </c>
    </row>
    <row r="120" spans="1:10" x14ac:dyDescent="0.25">
      <c r="A120" s="33">
        <v>2037</v>
      </c>
      <c r="B120" s="143" t="s">
        <v>762</v>
      </c>
      <c r="C120" t="s">
        <v>16</v>
      </c>
      <c r="D120" t="s">
        <v>318</v>
      </c>
      <c r="F120" t="s">
        <v>326</v>
      </c>
      <c r="G120">
        <f t="shared" si="9"/>
        <v>2037</v>
      </c>
      <c r="H120" t="str">
        <f t="shared" si="10"/>
        <v>`     For everyone</v>
      </c>
      <c r="I120" t="s">
        <v>520</v>
      </c>
      <c r="J120" t="str">
        <f t="shared" si="11"/>
        <v>&lt;G2B&gt;&lt;G1P&gt;`     For everyone</v>
      </c>
    </row>
    <row r="121" spans="1:10" x14ac:dyDescent="0.25">
      <c r="A121" s="144">
        <v>2083</v>
      </c>
      <c r="B121" s="145" t="s">
        <v>763</v>
      </c>
      <c r="C121" t="s">
        <v>16</v>
      </c>
      <c r="D121" t="s">
        <v>318</v>
      </c>
      <c r="F121" t="s">
        <v>326</v>
      </c>
      <c r="G121">
        <f t="shared" si="9"/>
        <v>2083</v>
      </c>
      <c r="H121" t="str">
        <f t="shared" si="10"/>
        <v>`     Can load using any network</v>
      </c>
      <c r="I121" t="s">
        <v>521</v>
      </c>
      <c r="J121" t="str">
        <f t="shared" si="11"/>
        <v>&lt;G2E&gt;&lt;G1P&gt;`     Can load using any network</v>
      </c>
    </row>
    <row r="122" spans="1:10" ht="15.75" x14ac:dyDescent="0.25">
      <c r="A122" s="33" t="s">
        <v>811</v>
      </c>
      <c r="B122" s="142" t="s">
        <v>764</v>
      </c>
      <c r="C122" t="s">
        <v>6</v>
      </c>
      <c r="D122" t="s">
        <v>323</v>
      </c>
      <c r="E122" t="s">
        <v>322</v>
      </c>
      <c r="F122" t="s">
        <v>327</v>
      </c>
      <c r="G122" t="str">
        <f t="shared" si="9"/>
        <v>2038+2039+2040+2041+2099+2121+2135+2050</v>
      </c>
      <c r="H122" t="str">
        <f t="shared" si="10"/>
        <v>`GCASH PROMOTION (NET)&lt;Q&gt;</v>
      </c>
      <c r="J122" t="str">
        <f t="shared" si="11"/>
        <v>`GCASH PROMOTION (NET)&lt;Q&gt;</v>
      </c>
    </row>
    <row r="123" spans="1:10" x14ac:dyDescent="0.25">
      <c r="A123" s="33">
        <v>2038</v>
      </c>
      <c r="B123" s="143" t="s">
        <v>765</v>
      </c>
      <c r="C123" t="s">
        <v>16</v>
      </c>
      <c r="D123" t="s">
        <v>318</v>
      </c>
      <c r="F123" t="s">
        <v>326</v>
      </c>
      <c r="G123">
        <f t="shared" si="9"/>
        <v>2038</v>
      </c>
      <c r="H123" t="str">
        <f t="shared" si="10"/>
        <v>`     For awareness to use GCash</v>
      </c>
      <c r="I123" t="s">
        <v>520</v>
      </c>
      <c r="J123" t="str">
        <f t="shared" si="11"/>
        <v>&lt;G2B&gt;&lt;G1P&gt;`     For awareness to use GCash</v>
      </c>
    </row>
    <row r="124" spans="1:10" x14ac:dyDescent="0.25">
      <c r="A124" s="33">
        <v>2039</v>
      </c>
      <c r="B124" s="143" t="s">
        <v>766</v>
      </c>
      <c r="C124" t="s">
        <v>16</v>
      </c>
      <c r="D124" t="s">
        <v>318</v>
      </c>
      <c r="F124" t="s">
        <v>326</v>
      </c>
      <c r="G124">
        <f t="shared" si="9"/>
        <v>2039</v>
      </c>
      <c r="H124" t="str">
        <f t="shared" si="10"/>
        <v>`     GCash features</v>
      </c>
      <c r="I124" t="s">
        <v>522</v>
      </c>
      <c r="J124" t="str">
        <f t="shared" si="11"/>
        <v>&lt;G1P&gt;`     GCash features</v>
      </c>
    </row>
    <row r="125" spans="1:10" x14ac:dyDescent="0.25">
      <c r="A125" s="33">
        <v>2040</v>
      </c>
      <c r="B125" s="143" t="s">
        <v>767</v>
      </c>
      <c r="C125" t="s">
        <v>16</v>
      </c>
      <c r="D125" t="s">
        <v>318</v>
      </c>
      <c r="F125" t="s">
        <v>326</v>
      </c>
      <c r="G125">
        <f t="shared" si="9"/>
        <v>2040</v>
      </c>
      <c r="H125" t="str">
        <f t="shared" si="10"/>
        <v>`     Encourage to use GCash</v>
      </c>
      <c r="I125" t="s">
        <v>522</v>
      </c>
      <c r="J125" t="str">
        <f t="shared" si="11"/>
        <v>&lt;G1P&gt;`     Encourage to use GCash</v>
      </c>
    </row>
    <row r="126" spans="1:10" x14ac:dyDescent="0.25">
      <c r="A126" s="33">
        <v>2041</v>
      </c>
      <c r="B126" s="143" t="s">
        <v>768</v>
      </c>
      <c r="C126" t="s">
        <v>16</v>
      </c>
      <c r="D126" t="s">
        <v>318</v>
      </c>
      <c r="F126" t="s">
        <v>326</v>
      </c>
      <c r="G126">
        <f t="shared" si="9"/>
        <v>2041</v>
      </c>
      <c r="H126" t="str">
        <f t="shared" si="10"/>
        <v>`     To understand more about GCash and how accessible it is</v>
      </c>
      <c r="I126" t="s">
        <v>522</v>
      </c>
      <c r="J126" t="str">
        <f t="shared" si="11"/>
        <v>&lt;G1P&gt;`     To understand more about GCash and how accessible it is</v>
      </c>
    </row>
    <row r="127" spans="1:10" x14ac:dyDescent="0.25">
      <c r="A127" s="144">
        <v>2099</v>
      </c>
      <c r="B127" s="145" t="s">
        <v>769</v>
      </c>
      <c r="C127" t="s">
        <v>16</v>
      </c>
      <c r="D127" t="s">
        <v>318</v>
      </c>
      <c r="F127" t="s">
        <v>326</v>
      </c>
      <c r="G127">
        <f t="shared" si="9"/>
        <v>2099</v>
      </c>
      <c r="H127" t="str">
        <f t="shared" si="10"/>
        <v>`     Nice promo ad</v>
      </c>
      <c r="I127" t="s">
        <v>522</v>
      </c>
      <c r="J127" t="str">
        <f t="shared" si="11"/>
        <v>&lt;G1P&gt;`     Nice promo ad</v>
      </c>
    </row>
    <row r="128" spans="1:10" x14ac:dyDescent="0.25">
      <c r="A128" s="144">
        <v>2121</v>
      </c>
      <c r="B128" s="145" t="s">
        <v>770</v>
      </c>
      <c r="C128" t="s">
        <v>16</v>
      </c>
      <c r="D128" t="s">
        <v>318</v>
      </c>
      <c r="F128" t="s">
        <v>326</v>
      </c>
      <c r="G128">
        <f t="shared" si="9"/>
        <v>2121</v>
      </c>
      <c r="H128" t="str">
        <f t="shared" si="10"/>
        <v>`     Excited on GCash offer</v>
      </c>
      <c r="I128" t="s">
        <v>522</v>
      </c>
      <c r="J128" t="str">
        <f t="shared" si="11"/>
        <v>&lt;G1P&gt;`     Excited on GCash offer</v>
      </c>
    </row>
    <row r="129" spans="1:10" x14ac:dyDescent="0.25">
      <c r="A129" s="144">
        <v>2135</v>
      </c>
      <c r="B129" s="145" t="s">
        <v>771</v>
      </c>
      <c r="C129" t="s">
        <v>16</v>
      </c>
      <c r="D129" t="s">
        <v>318</v>
      </c>
      <c r="F129" t="s">
        <v>326</v>
      </c>
      <c r="G129">
        <f t="shared" si="9"/>
        <v>2135</v>
      </c>
      <c r="H129" t="str">
        <f t="shared" si="10"/>
        <v>`     Use GCash wisely</v>
      </c>
      <c r="I129" t="s">
        <v>522</v>
      </c>
      <c r="J129" t="str">
        <f t="shared" si="11"/>
        <v>&lt;G1P&gt;`     Use GCash wisely</v>
      </c>
    </row>
    <row r="130" spans="1:10" x14ac:dyDescent="0.25">
      <c r="A130" s="144">
        <v>2050</v>
      </c>
      <c r="B130" s="145" t="s">
        <v>470</v>
      </c>
      <c r="C130" t="s">
        <v>16</v>
      </c>
      <c r="D130" t="s">
        <v>318</v>
      </c>
      <c r="F130" t="s">
        <v>326</v>
      </c>
      <c r="G130">
        <f t="shared" ref="G130:G160" si="12">IF(A130="","",A130)</f>
        <v>2050</v>
      </c>
      <c r="H130" t="str">
        <f t="shared" ref="H130:H160" si="13">_xlfn.CONCAT(D130,SUBSTITUTE(B130,"""","`"""),E130)</f>
        <v>`     About GCash</v>
      </c>
      <c r="I130" t="s">
        <v>521</v>
      </c>
      <c r="J130" t="str">
        <f t="shared" ref="J130:J161" si="14">_xlfn.CONCAT(I130,H130)</f>
        <v>&lt;G2E&gt;&lt;G1P&gt;`     About GCash</v>
      </c>
    </row>
    <row r="131" spans="1:10" ht="15.75" x14ac:dyDescent="0.25">
      <c r="A131" s="33">
        <v>2059</v>
      </c>
      <c r="B131" s="142" t="s">
        <v>772</v>
      </c>
      <c r="C131" t="s">
        <v>6</v>
      </c>
      <c r="D131" t="s">
        <v>323</v>
      </c>
      <c r="E131" t="s">
        <v>322</v>
      </c>
      <c r="F131" t="s">
        <v>327</v>
      </c>
      <c r="G131">
        <f t="shared" si="12"/>
        <v>2059</v>
      </c>
      <c r="H131" t="str">
        <f t="shared" si="13"/>
        <v>`TRUST (NET)&lt;Q&gt;</v>
      </c>
      <c r="J131" t="str">
        <f t="shared" si="14"/>
        <v>`TRUST (NET)&lt;Q&gt;</v>
      </c>
    </row>
    <row r="132" spans="1:10" x14ac:dyDescent="0.25">
      <c r="A132" s="144">
        <v>2059</v>
      </c>
      <c r="B132" s="145" t="s">
        <v>773</v>
      </c>
      <c r="C132" t="s">
        <v>16</v>
      </c>
      <c r="D132" t="s">
        <v>318</v>
      </c>
      <c r="F132" t="s">
        <v>326</v>
      </c>
      <c r="G132">
        <f t="shared" si="12"/>
        <v>2059</v>
      </c>
      <c r="H132" t="str">
        <f t="shared" si="13"/>
        <v>`     GCash can be trusted</v>
      </c>
      <c r="I132" t="s">
        <v>522</v>
      </c>
      <c r="J132" t="str">
        <f t="shared" si="14"/>
        <v>&lt;G1P&gt;`     GCash can be trusted</v>
      </c>
    </row>
    <row r="133" spans="1:10" ht="15.75" x14ac:dyDescent="0.25">
      <c r="A133" s="33">
        <v>2133</v>
      </c>
      <c r="B133" s="142" t="s">
        <v>415</v>
      </c>
      <c r="C133" t="s">
        <v>6</v>
      </c>
      <c r="D133" t="s">
        <v>323</v>
      </c>
      <c r="E133" t="s">
        <v>322</v>
      </c>
      <c r="F133" t="s">
        <v>327</v>
      </c>
      <c r="G133">
        <f t="shared" si="12"/>
        <v>2133</v>
      </c>
      <c r="H133" t="str">
        <f t="shared" si="13"/>
        <v>`SAFETY AND SECURITY (NET)&lt;Q&gt;</v>
      </c>
      <c r="J133" t="str">
        <f t="shared" si="14"/>
        <v>`SAFETY AND SECURITY (NET)&lt;Q&gt;</v>
      </c>
    </row>
    <row r="134" spans="1:10" x14ac:dyDescent="0.25">
      <c r="A134" s="144">
        <v>2133</v>
      </c>
      <c r="B134" s="145" t="s">
        <v>774</v>
      </c>
      <c r="C134" t="s">
        <v>16</v>
      </c>
      <c r="D134" t="s">
        <v>318</v>
      </c>
      <c r="F134" t="s">
        <v>326</v>
      </c>
      <c r="G134">
        <f t="shared" si="12"/>
        <v>2133</v>
      </c>
      <c r="H134" t="str">
        <f t="shared" si="13"/>
        <v>`     Money is safe in GCash</v>
      </c>
      <c r="I134" t="s">
        <v>522</v>
      </c>
      <c r="J134" t="str">
        <f t="shared" si="14"/>
        <v>&lt;G1P&gt;`     Money is safe in GCash</v>
      </c>
    </row>
    <row r="135" spans="1:10" ht="15.75" x14ac:dyDescent="0.25">
      <c r="A135" s="33">
        <v>2137</v>
      </c>
      <c r="B135" s="142" t="s">
        <v>1484</v>
      </c>
      <c r="C135" t="s">
        <v>6</v>
      </c>
      <c r="D135" t="s">
        <v>323</v>
      </c>
      <c r="E135" t="s">
        <v>322</v>
      </c>
      <c r="F135" t="s">
        <v>327</v>
      </c>
      <c r="G135">
        <f t="shared" si="12"/>
        <v>2137</v>
      </c>
      <c r="H135" t="str">
        <f t="shared" si="13"/>
        <v>`CASHLESS (NET)&lt;Q&gt;</v>
      </c>
      <c r="I135" t="s">
        <v>519</v>
      </c>
      <c r="J135" t="str">
        <f t="shared" si="14"/>
        <v>&lt;G1E&gt;`CASHLESS (NET)&lt;Q&gt;</v>
      </c>
    </row>
    <row r="136" spans="1:10" x14ac:dyDescent="0.25">
      <c r="A136" s="148">
        <v>2137</v>
      </c>
      <c r="B136" s="149" t="s">
        <v>779</v>
      </c>
      <c r="C136" t="s">
        <v>16</v>
      </c>
      <c r="D136" t="s">
        <v>318</v>
      </c>
      <c r="F136" t="s">
        <v>326</v>
      </c>
      <c r="G136">
        <f t="shared" si="12"/>
        <v>2137</v>
      </c>
      <c r="H136" t="str">
        <f t="shared" si="13"/>
        <v>`     No need cash</v>
      </c>
      <c r="I136" t="s">
        <v>522</v>
      </c>
      <c r="J136" t="str">
        <f t="shared" si="14"/>
        <v>&lt;G1P&gt;`     No need cash</v>
      </c>
    </row>
    <row r="137" spans="1:10" ht="15.75" x14ac:dyDescent="0.25">
      <c r="A137" s="33" t="s">
        <v>1489</v>
      </c>
      <c r="B137" s="142" t="s">
        <v>332</v>
      </c>
      <c r="C137" t="s">
        <v>6</v>
      </c>
      <c r="D137" t="s">
        <v>323</v>
      </c>
      <c r="E137" t="s">
        <v>322</v>
      </c>
      <c r="F137" t="s">
        <v>327</v>
      </c>
      <c r="G137" t="str">
        <f t="shared" si="12"/>
        <v>2043+2114+2134+2136+2146</v>
      </c>
      <c r="H137" t="str">
        <f t="shared" si="13"/>
        <v>`OTHERS (NET)&lt;Q&gt;</v>
      </c>
      <c r="J137" t="str">
        <f t="shared" si="14"/>
        <v>`OTHERS (NET)&lt;Q&gt;</v>
      </c>
    </row>
    <row r="138" spans="1:10" x14ac:dyDescent="0.25">
      <c r="A138" s="33">
        <v>2043</v>
      </c>
      <c r="B138" s="143" t="s">
        <v>775</v>
      </c>
      <c r="C138" t="s">
        <v>16</v>
      </c>
      <c r="D138" t="s">
        <v>318</v>
      </c>
      <c r="F138" t="s">
        <v>326</v>
      </c>
      <c r="G138">
        <f t="shared" si="12"/>
        <v>2043</v>
      </c>
      <c r="H138" t="str">
        <f t="shared" si="13"/>
        <v>`     Can save money</v>
      </c>
      <c r="I138" t="s">
        <v>520</v>
      </c>
      <c r="J138" t="str">
        <f t="shared" si="14"/>
        <v>&lt;G2B&gt;&lt;G1P&gt;`     Can save money</v>
      </c>
    </row>
    <row r="139" spans="1:10" x14ac:dyDescent="0.25">
      <c r="A139" s="144">
        <v>2114</v>
      </c>
      <c r="B139" s="145" t="s">
        <v>776</v>
      </c>
      <c r="C139" t="s">
        <v>16</v>
      </c>
      <c r="D139" t="s">
        <v>318</v>
      </c>
      <c r="F139" t="s">
        <v>326</v>
      </c>
      <c r="G139">
        <f t="shared" si="12"/>
        <v>2114</v>
      </c>
      <c r="H139" t="str">
        <f t="shared" si="13"/>
        <v>`     Cannot understand the ad</v>
      </c>
      <c r="I139" t="s">
        <v>522</v>
      </c>
      <c r="J139" t="str">
        <f t="shared" si="14"/>
        <v>&lt;G1P&gt;`     Cannot understand the ad</v>
      </c>
    </row>
    <row r="140" spans="1:10" x14ac:dyDescent="0.25">
      <c r="A140" s="144">
        <v>2134</v>
      </c>
      <c r="B140" s="145" t="s">
        <v>777</v>
      </c>
      <c r="C140" t="s">
        <v>16</v>
      </c>
      <c r="D140" t="s">
        <v>318</v>
      </c>
      <c r="F140" t="s">
        <v>326</v>
      </c>
      <c r="G140">
        <f t="shared" si="12"/>
        <v>2134</v>
      </c>
      <c r="H140" t="str">
        <f t="shared" si="13"/>
        <v>`     This is awesome</v>
      </c>
      <c r="I140" t="s">
        <v>522</v>
      </c>
      <c r="J140" t="str">
        <f t="shared" si="14"/>
        <v>&lt;G1P&gt;`     This is awesome</v>
      </c>
    </row>
    <row r="141" spans="1:10" x14ac:dyDescent="0.25">
      <c r="A141" s="148">
        <v>2136</v>
      </c>
      <c r="B141" s="149" t="s">
        <v>778</v>
      </c>
      <c r="C141" t="s">
        <v>16</v>
      </c>
      <c r="D141" t="s">
        <v>318</v>
      </c>
      <c r="F141" t="s">
        <v>326</v>
      </c>
      <c r="G141">
        <f t="shared" si="12"/>
        <v>2136</v>
      </c>
      <c r="H141" t="str">
        <f t="shared" si="13"/>
        <v>`     Can transfer money using GCash</v>
      </c>
      <c r="I141" t="s">
        <v>522</v>
      </c>
      <c r="J141" t="str">
        <f t="shared" si="14"/>
        <v>&lt;G1P&gt;`     Can transfer money using GCash</v>
      </c>
    </row>
    <row r="142" spans="1:10" x14ac:dyDescent="0.25">
      <c r="A142" s="148">
        <v>2146</v>
      </c>
      <c r="B142" s="149" t="s">
        <v>783</v>
      </c>
      <c r="C142" t="s">
        <v>16</v>
      </c>
      <c r="D142" t="s">
        <v>318</v>
      </c>
      <c r="F142" t="s">
        <v>326</v>
      </c>
      <c r="G142">
        <f t="shared" si="12"/>
        <v>2146</v>
      </c>
      <c r="H142" t="str">
        <f t="shared" si="13"/>
        <v>`     GCash is a big help</v>
      </c>
      <c r="I142" t="s">
        <v>521</v>
      </c>
      <c r="J142" t="str">
        <f t="shared" si="14"/>
        <v>&lt;G2E&gt;&lt;G1P&gt;`     GCash is a big help</v>
      </c>
    </row>
    <row r="143" spans="1:10" ht="15.75" x14ac:dyDescent="0.25">
      <c r="A143" s="33" t="s">
        <v>813</v>
      </c>
      <c r="B143" s="142" t="s">
        <v>331</v>
      </c>
      <c r="C143" t="s">
        <v>6</v>
      </c>
      <c r="D143" t="s">
        <v>323</v>
      </c>
      <c r="E143" t="s">
        <v>322</v>
      </c>
      <c r="F143" t="s">
        <v>327</v>
      </c>
      <c r="G143" t="str">
        <f t="shared" si="12"/>
        <v>2054+2079+2093+2097+2110+2111+2115+2116+2117+2118+2119+2126</v>
      </c>
      <c r="H143" t="str">
        <f t="shared" si="13"/>
        <v>`VAGUE (NET)&lt;Q&gt;</v>
      </c>
      <c r="J143" t="str">
        <f t="shared" si="14"/>
        <v>`VAGUE (NET)&lt;Q&gt;</v>
      </c>
    </row>
    <row r="144" spans="1:10" x14ac:dyDescent="0.25">
      <c r="A144" s="144">
        <v>2054</v>
      </c>
      <c r="B144" s="145" t="s">
        <v>784</v>
      </c>
      <c r="C144" t="s">
        <v>16</v>
      </c>
      <c r="D144" t="s">
        <v>318</v>
      </c>
      <c r="F144" t="s">
        <v>326</v>
      </c>
      <c r="G144">
        <f t="shared" si="12"/>
        <v>2054</v>
      </c>
      <c r="H144" t="str">
        <f t="shared" si="13"/>
        <v>`     It's okay</v>
      </c>
      <c r="I144" t="s">
        <v>520</v>
      </c>
      <c r="J144" t="str">
        <f t="shared" si="14"/>
        <v>&lt;G2B&gt;&lt;G1P&gt;`     It's okay</v>
      </c>
    </row>
    <row r="145" spans="1:10" x14ac:dyDescent="0.25">
      <c r="A145" s="144">
        <v>2079</v>
      </c>
      <c r="B145" s="145" t="s">
        <v>785</v>
      </c>
      <c r="C145" t="s">
        <v>16</v>
      </c>
      <c r="D145" t="s">
        <v>318</v>
      </c>
      <c r="F145" t="s">
        <v>326</v>
      </c>
      <c r="G145">
        <f t="shared" si="12"/>
        <v>2079</v>
      </c>
      <c r="H145" t="str">
        <f t="shared" si="13"/>
        <v>`     Hug</v>
      </c>
      <c r="I145" t="s">
        <v>522</v>
      </c>
      <c r="J145" t="str">
        <f t="shared" si="14"/>
        <v>&lt;G1P&gt;`     Hug</v>
      </c>
    </row>
    <row r="146" spans="1:10" x14ac:dyDescent="0.25">
      <c r="A146" s="144">
        <v>2093</v>
      </c>
      <c r="B146" s="145" t="s">
        <v>786</v>
      </c>
      <c r="C146" t="s">
        <v>16</v>
      </c>
      <c r="D146" t="s">
        <v>318</v>
      </c>
      <c r="F146" t="s">
        <v>326</v>
      </c>
      <c r="G146">
        <f t="shared" si="12"/>
        <v>2093</v>
      </c>
      <c r="H146" t="str">
        <f t="shared" si="13"/>
        <v>`     Install</v>
      </c>
      <c r="I146" t="s">
        <v>522</v>
      </c>
      <c r="J146" t="str">
        <f t="shared" si="14"/>
        <v>&lt;G1P&gt;`     Install</v>
      </c>
    </row>
    <row r="147" spans="1:10" x14ac:dyDescent="0.25">
      <c r="A147" s="144">
        <v>2097</v>
      </c>
      <c r="B147" s="145" t="s">
        <v>787</v>
      </c>
      <c r="C147" t="s">
        <v>16</v>
      </c>
      <c r="D147" t="s">
        <v>318</v>
      </c>
      <c r="F147" t="s">
        <v>326</v>
      </c>
      <c r="G147">
        <f t="shared" si="12"/>
        <v>2097</v>
      </c>
      <c r="H147" t="str">
        <f t="shared" si="13"/>
        <v>`     Nice</v>
      </c>
      <c r="I147" t="s">
        <v>522</v>
      </c>
      <c r="J147" t="str">
        <f t="shared" si="14"/>
        <v>&lt;G1P&gt;`     Nice</v>
      </c>
    </row>
    <row r="148" spans="1:10" x14ac:dyDescent="0.25">
      <c r="A148" s="144">
        <v>2110</v>
      </c>
      <c r="B148" s="145" t="s">
        <v>788</v>
      </c>
      <c r="C148" t="s">
        <v>16</v>
      </c>
      <c r="D148" t="s">
        <v>318</v>
      </c>
      <c r="F148" t="s">
        <v>326</v>
      </c>
      <c r="G148">
        <f t="shared" si="12"/>
        <v>2110</v>
      </c>
      <c r="H148" t="str">
        <f t="shared" si="13"/>
        <v>`     `"May kaya`"</v>
      </c>
      <c r="I148" t="s">
        <v>522</v>
      </c>
      <c r="J148" t="str">
        <f t="shared" si="14"/>
        <v>&lt;G1P&gt;`     `"May kaya`"</v>
      </c>
    </row>
    <row r="149" spans="1:10" x14ac:dyDescent="0.25">
      <c r="A149" s="144">
        <v>2111</v>
      </c>
      <c r="B149" s="145" t="s">
        <v>789</v>
      </c>
      <c r="C149" t="s">
        <v>16</v>
      </c>
      <c r="D149" t="s">
        <v>318</v>
      </c>
      <c r="F149" t="s">
        <v>326</v>
      </c>
      <c r="G149">
        <f t="shared" si="12"/>
        <v>2111</v>
      </c>
      <c r="H149" t="str">
        <f t="shared" si="13"/>
        <v>`     Someone being afraid</v>
      </c>
      <c r="I149" t="s">
        <v>522</v>
      </c>
      <c r="J149" t="str">
        <f t="shared" si="14"/>
        <v>&lt;G1P&gt;`     Someone being afraid</v>
      </c>
    </row>
    <row r="150" spans="1:10" x14ac:dyDescent="0.25">
      <c r="A150" s="144">
        <v>2115</v>
      </c>
      <c r="B150" s="145" t="s">
        <v>790</v>
      </c>
      <c r="C150" t="s">
        <v>16</v>
      </c>
      <c r="D150" t="s">
        <v>318</v>
      </c>
      <c r="F150" t="s">
        <v>326</v>
      </c>
      <c r="G150">
        <f t="shared" si="12"/>
        <v>2115</v>
      </c>
      <c r="H150" t="str">
        <f t="shared" si="13"/>
        <v>`     Missing someone</v>
      </c>
      <c r="I150" t="s">
        <v>522</v>
      </c>
      <c r="J150" t="str">
        <f t="shared" si="14"/>
        <v>&lt;G1P&gt;`     Missing someone</v>
      </c>
    </row>
    <row r="151" spans="1:10" x14ac:dyDescent="0.25">
      <c r="A151" s="144">
        <v>2116</v>
      </c>
      <c r="B151" s="145" t="s">
        <v>791</v>
      </c>
      <c r="C151" t="s">
        <v>16</v>
      </c>
      <c r="D151" t="s">
        <v>318</v>
      </c>
      <c r="F151" t="s">
        <v>326</v>
      </c>
      <c r="G151">
        <f t="shared" si="12"/>
        <v>2116</v>
      </c>
      <c r="H151" t="str">
        <f t="shared" si="13"/>
        <v>`     Helping easch other</v>
      </c>
      <c r="I151" t="s">
        <v>522</v>
      </c>
      <c r="J151" t="str">
        <f t="shared" si="14"/>
        <v>&lt;G1P&gt;`     Helping easch other</v>
      </c>
    </row>
    <row r="152" spans="1:10" x14ac:dyDescent="0.25">
      <c r="A152" s="144">
        <v>2117</v>
      </c>
      <c r="B152" s="145" t="s">
        <v>792</v>
      </c>
      <c r="C152" t="s">
        <v>16</v>
      </c>
      <c r="D152" t="s">
        <v>318</v>
      </c>
      <c r="F152" t="s">
        <v>326</v>
      </c>
      <c r="G152">
        <f t="shared" si="12"/>
        <v>2117</v>
      </c>
      <c r="H152" t="str">
        <f t="shared" si="13"/>
        <v>`     In shock</v>
      </c>
      <c r="I152" t="s">
        <v>522</v>
      </c>
      <c r="J152" t="str">
        <f t="shared" si="14"/>
        <v>&lt;G1P&gt;`     In shock</v>
      </c>
    </row>
    <row r="153" spans="1:10" x14ac:dyDescent="0.25">
      <c r="A153" s="144">
        <v>2118</v>
      </c>
      <c r="B153" s="145" t="s">
        <v>793</v>
      </c>
      <c r="C153" t="s">
        <v>16</v>
      </c>
      <c r="D153" t="s">
        <v>318</v>
      </c>
      <c r="F153" t="s">
        <v>326</v>
      </c>
      <c r="G153">
        <f t="shared" si="12"/>
        <v>2118</v>
      </c>
      <c r="H153" t="str">
        <f t="shared" si="13"/>
        <v>`     Playing</v>
      </c>
      <c r="I153" t="s">
        <v>522</v>
      </c>
      <c r="J153" t="str">
        <f t="shared" si="14"/>
        <v>&lt;G1P&gt;`     Playing</v>
      </c>
    </row>
    <row r="154" spans="1:10" x14ac:dyDescent="0.25">
      <c r="A154" s="144">
        <v>2119</v>
      </c>
      <c r="B154" s="145" t="s">
        <v>794</v>
      </c>
      <c r="C154" t="s">
        <v>16</v>
      </c>
      <c r="D154" t="s">
        <v>318</v>
      </c>
      <c r="F154" t="s">
        <v>326</v>
      </c>
      <c r="G154">
        <f t="shared" si="12"/>
        <v>2119</v>
      </c>
      <c r="H154" t="str">
        <f t="shared" si="13"/>
        <v>`     In shock because of GCash</v>
      </c>
      <c r="I154" t="s">
        <v>522</v>
      </c>
      <c r="J154" t="str">
        <f t="shared" si="14"/>
        <v>&lt;G1P&gt;`     In shock because of GCash</v>
      </c>
    </row>
    <row r="155" spans="1:10" x14ac:dyDescent="0.25">
      <c r="A155" s="144">
        <v>2126</v>
      </c>
      <c r="B155" s="145" t="s">
        <v>795</v>
      </c>
      <c r="C155" t="s">
        <v>16</v>
      </c>
      <c r="D155" t="s">
        <v>318</v>
      </c>
      <c r="F155" t="s">
        <v>326</v>
      </c>
      <c r="G155">
        <f t="shared" si="12"/>
        <v>2126</v>
      </c>
      <c r="H155" t="str">
        <f t="shared" si="13"/>
        <v>`     Enjoyed using e-wallet</v>
      </c>
      <c r="I155" t="s">
        <v>521</v>
      </c>
      <c r="J155" t="str">
        <f t="shared" si="14"/>
        <v>&lt;G2E&gt;&lt;G1P&gt;`     Enjoyed using e-wallet</v>
      </c>
    </row>
    <row r="156" spans="1:10" x14ac:dyDescent="0.25">
      <c r="A156" s="144">
        <v>9994</v>
      </c>
      <c r="B156" s="145" t="s">
        <v>796</v>
      </c>
      <c r="G156">
        <f t="shared" si="12"/>
        <v>9994</v>
      </c>
      <c r="H156" t="str">
        <f t="shared" si="13"/>
        <v>No comment</v>
      </c>
      <c r="J156" t="str">
        <f t="shared" si="14"/>
        <v>No comment</v>
      </c>
    </row>
    <row r="157" spans="1:10" x14ac:dyDescent="0.25">
      <c r="A157" s="144">
        <v>9996</v>
      </c>
      <c r="B157" s="145" t="s">
        <v>302</v>
      </c>
      <c r="G157">
        <f t="shared" si="12"/>
        <v>9996</v>
      </c>
      <c r="H157" t="str">
        <f t="shared" si="13"/>
        <v>Can't say</v>
      </c>
      <c r="J157" t="str">
        <f t="shared" si="14"/>
        <v>Can't say</v>
      </c>
    </row>
    <row r="158" spans="1:10" x14ac:dyDescent="0.25">
      <c r="A158" s="144">
        <v>9997</v>
      </c>
      <c r="B158" s="145" t="s">
        <v>336</v>
      </c>
      <c r="G158">
        <f t="shared" si="12"/>
        <v>9997</v>
      </c>
      <c r="H158" t="str">
        <f t="shared" si="13"/>
        <v>Don't know</v>
      </c>
      <c r="J158" t="str">
        <f t="shared" si="14"/>
        <v>Don't know</v>
      </c>
    </row>
    <row r="159" spans="1:10" x14ac:dyDescent="0.25">
      <c r="A159" s="144">
        <v>9998</v>
      </c>
      <c r="B159" s="145" t="s">
        <v>797</v>
      </c>
      <c r="G159">
        <f t="shared" si="12"/>
        <v>9998</v>
      </c>
      <c r="H159" t="str">
        <f t="shared" si="13"/>
        <v>No idea</v>
      </c>
      <c r="J159" t="str">
        <f t="shared" si="14"/>
        <v>No idea</v>
      </c>
    </row>
    <row r="160" spans="1:10" x14ac:dyDescent="0.25">
      <c r="A160" s="144">
        <v>9999</v>
      </c>
      <c r="B160" s="145" t="s">
        <v>303</v>
      </c>
      <c r="G160">
        <f t="shared" si="12"/>
        <v>9999</v>
      </c>
      <c r="H160" t="str">
        <f t="shared" si="13"/>
        <v>None</v>
      </c>
      <c r="J160" t="str">
        <f t="shared" si="14"/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2024-10-16T12:53:31Z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